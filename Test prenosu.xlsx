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B47408\Downloads\"/>
    </mc:Choice>
  </mc:AlternateContent>
  <xr:revisionPtr revIDLastSave="0" documentId="8_{DDC76B52-99B4-4547-B7F9-498A85036B67}" xr6:coauthVersionLast="47" xr6:coauthVersionMax="47" xr10:uidLastSave="{00000000-0000-0000-0000-000000000000}"/>
  <bookViews>
    <workbookView xWindow="-28920" yWindow="3270" windowWidth="29040" windowHeight="15720" xr2:uid="{EA12E0BA-93F3-4EB4-98F4-CF9505E93D35}"/>
  </bookViews>
  <sheets>
    <sheet name="CR" sheetId="1" r:id="rId1"/>
    <sheet name="Formulare" sheetId="2" r:id="rId2"/>
  </sheets>
  <definedNames>
    <definedName name="_xlnm._FilterDatabase" localSheetId="0" hidden="1">CR!$A$2:$P$23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D2" i="2"/>
  <c r="I17" i="1" l="1"/>
  <c r="I22" i="1"/>
  <c r="I20" i="1"/>
  <c r="J19" i="1"/>
  <c r="K19" i="1" s="1"/>
  <c r="I19" i="1" l="1"/>
  <c r="I18" i="1"/>
  <c r="I16" i="1"/>
  <c r="I12" i="1"/>
  <c r="I11" i="1"/>
  <c r="I6" i="1"/>
  <c r="I3" i="1"/>
  <c r="J15" i="1"/>
  <c r="K15" i="1" s="1"/>
  <c r="J14" i="1"/>
  <c r="K14" i="1" s="1"/>
  <c r="J13" i="1"/>
  <c r="K13" i="1" s="1"/>
</calcChain>
</file>

<file path=xl/sharedStrings.xml><?xml version="1.0" encoding="utf-8"?>
<sst xmlns="http://schemas.openxmlformats.org/spreadsheetml/2006/main" count="162" uniqueCount="60">
  <si>
    <t>Objednavka</t>
  </si>
  <si>
    <t>Financovanie</t>
  </si>
  <si>
    <t>Zaradene do Q</t>
  </si>
  <si>
    <t>Priorita R4</t>
  </si>
  <si>
    <t>Priorita R7</t>
  </si>
  <si>
    <t>Priorita R8</t>
  </si>
  <si>
    <t>Názov požiadavky</t>
  </si>
  <si>
    <t>MD</t>
  </si>
  <si>
    <t>Cena bez DPH</t>
  </si>
  <si>
    <t>Cena s DPH</t>
  </si>
  <si>
    <t>Prispieva R4</t>
  </si>
  <si>
    <t>Prispieva R7</t>
  </si>
  <si>
    <t>Prispieva R8</t>
  </si>
  <si>
    <t>Veronika N</t>
  </si>
  <si>
    <t>Poznamka</t>
  </si>
  <si>
    <t>Uvolnene zdroje</t>
  </si>
  <si>
    <t>OK</t>
  </si>
  <si>
    <t>Q4/2025</t>
  </si>
  <si>
    <t>Schválenie odchádzajúceho podania druhou osobou (kontrola používateľov pri schvaľovaní)</t>
  </si>
  <si>
    <t>Y</t>
  </si>
  <si>
    <t>N</t>
  </si>
  <si>
    <t>Možnosti vkladania príloh do formulárov (vkladanie pomocou linky z DMS)</t>
  </si>
  <si>
    <t xml:space="preserve">DMS - Požiadavka na zmenu konvencie ukladania príloh do DMS / spôsob napĺňania atribútu DocumentTitle pre prílohy </t>
  </si>
  <si>
    <t>Všeobecne – Sekcia biznisové údaje – manuálne pridanie čísla produktu (doplnenie možnosti manuálne pridať číslo produktu)</t>
  </si>
  <si>
    <t>Zrusene</t>
  </si>
  <si>
    <t xml:space="preserve">Návrh na vklad do KN – Založenie nehnuteľnosti - Sekcia účastníci podania –  doplnenie možnosti pridať dlžníka (doplnenie sekcie) </t>
  </si>
  <si>
    <r>
      <t xml:space="preserve">28.10.2025 Na zaklade vyjadrenia DISIGu tento CR zatial nema zmysel realizovat. Vynate z Q4/2025
task [Q3_2.1] Návrh na vklad do KN – Založenie nehnuteľnosti - Sekcia účastníci podania – doplnenie možnosti pridať dlžníka (doplnenie sekcie), ktory na zaklade konzultacie nie je aktualne realizovatelny. 
</t>
    </r>
    <r>
      <rPr>
        <sz val="11"/>
        <color rgb="FFFF0000"/>
        <rFont val="Aptos Narrow"/>
        <family val="2"/>
        <scheme val="minor"/>
      </rPr>
      <t>DISIG. Zrusena poziadavka 
zrealizovana analyza a cast PM / cca - 0,5 MD</t>
    </r>
  </si>
  <si>
    <t xml:space="preserve">DMS - Implementácia definovaného patternu pre zadanie viacerých CIF pri zápise do DMS </t>
  </si>
  <si>
    <t>Q1/2026</t>
  </si>
  <si>
    <t>Doplnenie obrazoviek Odchádzajúce a Doručené zásielky (pridanie názvu klienta do prehľadu)</t>
  </si>
  <si>
    <t>Vybrane z Q4/2025 a presunute do Q1/2026 po dohode s Lenkou F.</t>
  </si>
  <si>
    <t>mame predplatene do Q1/2026</t>
  </si>
  <si>
    <t xml:space="preserve">DMS - Úprava spôsobu zápisu viacerých produktových čísiel do DMS (validácia UDI) </t>
  </si>
  <si>
    <t>Návrh na vklad do KN – Doplnenie nového typu prílohy (eKolok)</t>
  </si>
  <si>
    <t>ÚGKK - Implementácia kontroly na rodne číslo pre formuláre ÚGKK</t>
  </si>
  <si>
    <t>1.1.	Verifikácia ID nehnuteľností v podaní – 5 MD (50:50 TB:Disig)</t>
  </si>
  <si>
    <t>neviem ake bolo financovanie/ doplni LenkaJ</t>
  </si>
  <si>
    <t>2.	Zistenie rozdielu pri aktualizácii ID v podaní – 5 MD (50:50 TB:Disig)</t>
  </si>
  <si>
    <t>1. CR na SubReg (GATEGlobal) – 4MD
Dodatocne upravy v integracnej logike SUBReg (GATEGlobal)</t>
  </si>
  <si>
    <t>Zobrazovanie katastrálneho územia pri pridávaní nehnuteľnosti</t>
  </si>
  <si>
    <t>Zobrazovanie katastrálneho územia pri pridávaní nehnuteľnosti
Pri pridávaní nehnuteľnosti v katastrálnych formulároch:
-	Návrh na vklad do KN – Založenie nehnuteľnosti
-	Návrh na výmaz záložného práva
Prosím o zobrazenie v Katastrálnom území aj názov obce a aj názov okresu, nakoľko existuje viacero duplicít na katastrálne územie a názov obce. Je teda potrebné zobrazovať aj názov okresu aby užívateľ vedel vybrať správne k.ú.</t>
  </si>
  <si>
    <r>
      <t xml:space="preserve">Zmena smerovania katastralnych podani (vyhrada 1)  </t>
    </r>
    <r>
      <rPr>
        <sz val="11"/>
        <color rgb="FFFF0000"/>
        <rFont val="Aptos Narrow"/>
        <family val="2"/>
        <scheme val="minor"/>
      </rPr>
      <t>+ ine drobne zmeny pre katastralny formular</t>
    </r>
  </si>
  <si>
    <r>
      <t xml:space="preserve">AS-IS
Smerujeme vsetky katastralne podania na jednu spolocnu elektronicku schranku Uradu geodezie, kartografie a katastra (UGKK) ico://sk/00166260_10001 podla starsej dohody s UGKK.
Cielovy okresny urad pre dane podanie urcuje Egov automaticky na zaklade logiky dohodnutej s UGKK, udaj vyplna Egov ako ciselnikovy element  &lt;Recipient&gt; el. formulara el. podania kvitancie a navrhu na vklad.
Odosielanie do jednotnej schranky UGKK sposobuje, ze UGKK podatelna musi manualne preposielat podania z Egov na cielovy okresny urad. Preposielaju ich prave na zaklade atributu Recipient, ktore si precitaju z podania.
TO-BE
Egov bude posielat jednotlive podania priamo do elektronických schránok jednotlivých okresných úradov.
Urobil som porovnanie medzi tym co dnes ma vyplnat Egov do Recipient vs. zoznam existujúcich el. Schránky OVM z datasetu na slovensko.sk.
Je tu  Parovanie okresnych uradov podal UGKK na el. schranky OVM.xlsx.
</t>
    </r>
    <r>
      <rPr>
        <sz val="11"/>
        <color rgb="FFFF0000"/>
        <rFont val="Aptos Narrow"/>
        <family val="2"/>
        <scheme val="minor"/>
      </rPr>
      <t xml:space="preserve">2 MD  na task s upravou smerovania priloh (done/nenasadene) -  tato konkretna  poziadavka
</t>
    </r>
    <r>
      <rPr>
        <b/>
        <sz val="11"/>
        <color rgb="FFFF0000"/>
        <rFont val="Aptos Narrow"/>
        <family val="2"/>
        <scheme val="minor"/>
      </rPr>
      <t xml:space="preserve">3 MD na tasky z .docx s vyhradami zo strany UGKK (čakáme na potvrdenie realizácie)
</t>
    </r>
    <r>
      <rPr>
        <sz val="11"/>
        <color rgb="FFFF0000"/>
        <rFont val="Aptos Narrow"/>
        <family val="2"/>
        <scheme val="minor"/>
      </rPr>
      <t xml:space="preserve">Vyhrada 2  - navrh je adresovany - je vyplneny nespravne, nie je uvedene konkretne pracovisko katastra
Vyhrada 3 - nespravne vyplnene formulare - obsahuju cislo podania z portalu... cisla su matuce pre kataster
Vyhrada 4 - V casti dotknute nehnutelnosti je uvedena TB ako vlastnik - co nie je spravne
</t>
    </r>
    <r>
      <rPr>
        <b/>
        <sz val="11"/>
        <color rgb="FFFF0000"/>
        <rFont val="Aptos Narrow"/>
        <family val="2"/>
        <scheme val="minor"/>
      </rPr>
      <t xml:space="preserve">Vyhrada 5 - Samotná listina, ktorá je prílohou návrhu (formulára) a na základe ktorej sa má vykonať výmaz záložného práva nie je elektronicky podpísaná. - incident
</t>
    </r>
  </si>
  <si>
    <t>Bez financovania</t>
  </si>
  <si>
    <t>NOK</t>
  </si>
  <si>
    <t xml:space="preserve">Vacsi DMS task, ktory by riesil upravu logiky ukladania suborov do DMS podla zadania od p. Janova </t>
  </si>
  <si>
    <t xml:space="preserve">Z dodavky Q4/2025 nam po zruseni dvoch poziadaviek zostalo 1,5+1,5+3MD Odhad je 12MD, cize este nam 6MD chyba. Zalezi, ci sa bude realizovat novy HR formular, tam by sme mali dost financnych prostriedkov... Je potrebne potvrdit s p.Balisovou. LenkaF este overi, ci tieto poziadavky nie su uz duplicitne zahrnute v inych poziadavkach, ktore uz mame zaradene do Q4. Pozrie specifikaciu od Alexa a da mi spatne info
 </t>
  </si>
  <si>
    <t xml:space="preserve">Čiastočný výmaz </t>
  </si>
  <si>
    <t>Žiadosť o výpis z Obchodného registra SR (zlúčenie sekcii a úprava vizuálu formuláru)</t>
  </si>
  <si>
    <t>Použitie tlačidla ENTER pri vyhľadávaní</t>
  </si>
  <si>
    <t>nemame nacenene od DISIGu</t>
  </si>
  <si>
    <t xml:space="preserve">Prosím o umožnenie použitia tlačidla ENTER pri vyhľadávaní v rôznych dialogových oknách aplikácie (napr. vyhľadanie klienta a produktov)  aj v rámci formuláru Žiadosť o výpis z OR. Taktiež nefunguje ENTER  v dialógovom okne "Pridanie záložcu" pri formulári Návrh na vklad do KN. </t>
  </si>
  <si>
    <t>CHR / Všeobecne – Sekcia biznisové údaje – doplnenie a upratanie atribútov klienta a produktov (úprava logiky zobrazenia údajov)</t>
  </si>
  <si>
    <t>Pre požiadavku - CHR / Všeobecne – Sekcia biznisové údaje – doplnenie a upratanie atribútov klienta a produktov (úprava logiky zobrazenia údajov) – viem potvrdiť realizáciu LEN za korporát, pripájam poslednú verziu zadania čo som našla.
Je potrebné sa dohodnúť či sa požiadavka bude týkať iba katastrov alebo všetkých podaní (formulárov), zadanie sme pripravovali s Alexom a Katkou ešte pred letom, je potrebné si ho prejsť, nezdá sa mi úplne aktuálne podľa toho čo už vieme z praxe.</t>
  </si>
  <si>
    <t>Ak Návrh na vklad do KN – Založenie nehnuteľnosti a zároveň v biznisových údajoch vybratá možnosť Retail, 
Tak pole CIF bude nepovinné na vyplnenie.</t>
  </si>
  <si>
    <r>
      <t xml:space="preserve">DISIG: Pri tejto poziadavke ale v zasade potrebujeme pochopit ako to ma hrat v kombinacii s integraciou na subreg, ktora je aktualne primarny zdroj pre vyhladavanie klienta a tam sa ide podla CIF (povinny udaj).
Ak bude retail tak sa cely subreg vypne a ma sa zadat klient komplet manualne?
TB: Ideálny stav je, že vyhľadávanie cez sub reg bude na RČ klienta. Následne ak sa dotiahnu údaje, tak CIF je nepovinné. 
Ak sa nedotiahnu údaje zo sub reg, tak vedieť zadať všetko manuálne, pričom CIF je nepovinný údaj.
</t>
    </r>
    <r>
      <rPr>
        <sz val="11"/>
        <color rgb="FFFF0000"/>
        <rFont val="Aptos Narrow"/>
        <family val="2"/>
        <scheme val="minor"/>
      </rPr>
      <t>POTREBNE PREJST NA MEETINGU</t>
    </r>
    <r>
      <rPr>
        <sz val="11"/>
        <color theme="1"/>
        <rFont val="Aptos Narrow"/>
        <family val="2"/>
        <charset val="238"/>
        <scheme val="minor"/>
      </rPr>
      <t xml:space="preserve">
</t>
    </r>
  </si>
  <si>
    <t xml:space="preserve">Novy formular pre HR </t>
  </si>
  <si>
    <t xml:space="preserve">Oznámenie o zmene údajov na Informačnej karte </t>
  </si>
  <si>
    <t>Maria Balisova</t>
  </si>
  <si>
    <t>Financovanie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</si>
</sst>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0\ &quot;€&quot;"/>
  </numFmts>
  <fonts count="13" x14ac:knownFonts="1">
    <font>
      <sz val="11"/>
      <color theme="1"/>
      <name val="Aptos Narrow"/>
      <family val="2"/>
      <charset val="238"/>
      <scheme val="minor"/>
    </font>
    <font>
      <sz val="11"/>
      <color rgb="FFFF0000"/>
      <name val="Aptos Narrow"/>
      <family val="2"/>
      <charset val="238"/>
      <scheme val="minor"/>
    </font>
    <font>
      <b/>
      <sz val="11"/>
      <color rgb="FF000000"/>
      <name val="Aptos Narrow"/>
      <family val="2"/>
      <charset val="238"/>
      <scheme val="minor"/>
    </font>
    <font>
      <b/>
      <sz val="11"/>
      <color rgb="FF000000"/>
      <name val="Aptos Narrow"/>
      <family val="2"/>
      <scheme val="minor"/>
    </font>
    <font>
      <sz val="11"/>
      <color rgb="FF000000"/>
      <name val="Aptos Narrow"/>
      <family val="2"/>
      <scheme val="minor"/>
    </font>
    <font>
      <sz val="11"/>
      <color rgb="FF000000"/>
      <name val="Aptos Narrow"/>
      <family val="2"/>
      <charset val="238"/>
      <scheme val="minor"/>
    </font>
    <font>
      <b/>
      <sz val="11"/>
      <color theme="1"/>
      <name val="Aptos Narrow"/>
      <family val="2"/>
      <scheme val="minor"/>
    </font>
    <font>
      <b/>
      <sz val="11"/>
      <color rgb="FFFF0000"/>
      <name val="Aptos Narrow"/>
      <family val="2"/>
      <scheme val="minor"/>
    </font>
    <font>
      <sz val="8"/>
      <name val="Aptos Narrow"/>
      <family val="2"/>
      <charset val="238"/>
      <scheme val="minor"/>
    </font>
    <font>
      <sz val="11"/>
      <color rgb="FFFF0000"/>
      <name val="Aptos Narrow"/>
      <family val="2"/>
      <scheme val="minor"/>
    </font>
    <font>
      <sz val="11"/>
      <name val="Aptos Narrow"/>
      <family val="2"/>
      <charset val="238"/>
      <scheme val="minor"/>
    </font>
    <font>
      <sz val="11"/>
      <name val="Aptos Narrow"/>
      <family val="2"/>
      <scheme val="minor"/>
    </font>
    <font>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17">
    <xf numFmtId="0" fontId="0" fillId="0" borderId="0" xfId="0"/>
    <xf numFmtId="0" fontId="5" fillId="0" borderId="1" xfId="0" applyFont="1" applyBorder="1" applyAlignment="1">
      <alignment wrapText="1"/>
    </xf>
    <xf numFmtId="8" fontId="5" fillId="0" borderId="1" xfId="0" applyNumberFormat="1" applyFont="1" applyBorder="1"/>
    <xf numFmtId="4" fontId="4" fillId="0" borderId="1" xfId="0" applyNumberFormat="1" applyFont="1" applyBorder="1" applyAlignment="1">
      <alignment horizontal="right"/>
    </xf>
    <xf numFmtId="0" fontId="4" fillId="0" borderId="1" xfId="0" applyFont="1" applyBorder="1" applyAlignment="1">
      <alignment horizontal="center"/>
    </xf>
    <xf numFmtId="0" fontId="4" fillId="0" borderId="1" xfId="0" applyFont="1" applyBorder="1"/>
    <xf numFmtId="0" fontId="4" fillId="0" borderId="1" xfId="0" applyFont="1" applyBorder="1" applyAlignment="1">
      <alignment horizontal="right"/>
    </xf>
    <xf numFmtId="0" fontId="7" fillId="0" borderId="0" xfId="0" applyFont="1"/>
    <xf numFmtId="0" fontId="5" fillId="2" borderId="1" xfId="0" applyFont="1" applyFill="1" applyBorder="1" applyAlignment="1">
      <alignment wrapText="1"/>
    </xf>
    <xf numFmtId="0" fontId="4" fillId="0" borderId="4" xfId="0" applyFont="1" applyBorder="1"/>
    <xf numFmtId="0" fontId="0" fillId="0" borderId="3" xfId="0" applyBorder="1"/>
    <xf numFmtId="0" fontId="0" fillId="0" borderId="0" xfId="0" applyAlignment="1">
      <alignment wrapText="1"/>
    </xf>
    <xf numFmtId="0" fontId="6" fillId="0" borderId="3"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3" fillId="0" borderId="1" xfId="0" applyFont="1" applyBorder="1" applyAlignment="1">
      <alignment horizontal="center" wrapText="1"/>
    </xf>
    <xf numFmtId="0" fontId="0" fillId="0" borderId="0" xfId="0" applyAlignment="1">
      <alignment horizontal="center" wrapText="1"/>
    </xf>
    <xf numFmtId="0" fontId="3" fillId="0" borderId="5" xfId="0" applyFont="1" applyBorder="1" applyAlignment="1">
      <alignment horizontal="center" wrapText="1"/>
    </xf>
    <xf numFmtId="0" fontId="4" fillId="0" borderId="5" xfId="0" applyFont="1" applyBorder="1" applyAlignment="1">
      <alignment horizontal="center"/>
    </xf>
    <xf numFmtId="0" fontId="3" fillId="0" borderId="3" xfId="0" applyFont="1" applyBorder="1" applyAlignment="1">
      <alignment horizontal="center" wrapText="1"/>
    </xf>
    <xf numFmtId="8" fontId="5" fillId="2" borderId="1" xfId="0" applyNumberFormat="1" applyFont="1" applyFill="1" applyBorder="1"/>
    <xf numFmtId="4" fontId="4" fillId="2" borderId="1" xfId="0" applyNumberFormat="1" applyFont="1" applyFill="1" applyBorder="1" applyAlignment="1">
      <alignment horizontal="right"/>
    </xf>
    <xf numFmtId="0" fontId="4" fillId="2" borderId="1" xfId="0" applyFont="1" applyFill="1" applyBorder="1" applyAlignment="1">
      <alignment horizontal="center"/>
    </xf>
    <xf numFmtId="0" fontId="4" fillId="2" borderId="5" xfId="0" applyFont="1" applyFill="1" applyBorder="1" applyAlignment="1">
      <alignment horizontal="center"/>
    </xf>
    <xf numFmtId="0" fontId="4" fillId="2" borderId="3" xfId="0" applyFont="1" applyFill="1" applyBorder="1" applyAlignment="1">
      <alignment horizontal="center"/>
    </xf>
    <xf numFmtId="0" fontId="0" fillId="0" borderId="3" xfId="0" applyBorder="1" applyAlignment="1">
      <alignment wrapText="1"/>
    </xf>
    <xf numFmtId="0" fontId="0" fillId="0" borderId="3" xfId="0" applyBorder="1" applyAlignment="1">
      <alignment horizontal="left" wrapText="1"/>
    </xf>
    <xf numFmtId="0" fontId="4" fillId="2" borderId="3" xfId="0" applyFont="1" applyFill="1" applyBorder="1" applyAlignment="1">
      <alignment horizontal="left" wrapText="1"/>
    </xf>
    <xf numFmtId="0" fontId="0" fillId="2" borderId="3" xfId="0" applyFill="1" applyBorder="1"/>
    <xf numFmtId="0" fontId="4" fillId="2" borderId="4" xfId="0" applyFont="1" applyFill="1" applyBorder="1"/>
    <xf numFmtId="0" fontId="4" fillId="2" borderId="1" xfId="0" applyFont="1" applyFill="1" applyBorder="1"/>
    <xf numFmtId="0" fontId="0" fillId="3" borderId="3" xfId="0" applyFill="1" applyBorder="1"/>
    <xf numFmtId="0" fontId="4" fillId="4" borderId="4" xfId="0" applyFont="1" applyFill="1" applyBorder="1"/>
    <xf numFmtId="0" fontId="4" fillId="3" borderId="1" xfId="0" applyFont="1" applyFill="1" applyBorder="1"/>
    <xf numFmtId="0" fontId="4" fillId="4" borderId="1" xfId="0" applyFont="1" applyFill="1" applyBorder="1"/>
    <xf numFmtId="0" fontId="5" fillId="3" borderId="1" xfId="0" applyFont="1" applyFill="1" applyBorder="1" applyAlignment="1">
      <alignment wrapText="1"/>
    </xf>
    <xf numFmtId="8" fontId="5" fillId="3" borderId="1" xfId="0" applyNumberFormat="1" applyFont="1" applyFill="1" applyBorder="1"/>
    <xf numFmtId="4" fontId="4" fillId="3" borderId="1" xfId="0" applyNumberFormat="1" applyFont="1" applyFill="1" applyBorder="1" applyAlignment="1">
      <alignment horizontal="right"/>
    </xf>
    <xf numFmtId="0" fontId="4" fillId="3" borderId="1" xfId="0" applyFont="1" applyFill="1" applyBorder="1" applyAlignment="1">
      <alignment horizontal="center"/>
    </xf>
    <xf numFmtId="0" fontId="4" fillId="3" borderId="5" xfId="0" applyFont="1" applyFill="1" applyBorder="1" applyAlignment="1">
      <alignment horizontal="center"/>
    </xf>
    <xf numFmtId="164" fontId="0" fillId="0" borderId="3" xfId="0" applyNumberFormat="1" applyBorder="1" applyAlignment="1">
      <alignment horizontal="center" vertical="center" wrapText="1"/>
    </xf>
    <xf numFmtId="0" fontId="0" fillId="0" borderId="7" xfId="0" applyBorder="1"/>
    <xf numFmtId="0" fontId="5" fillId="0" borderId="9" xfId="0" applyFont="1" applyBorder="1" applyAlignment="1">
      <alignment wrapText="1"/>
    </xf>
    <xf numFmtId="8" fontId="5" fillId="0" borderId="9" xfId="0" applyNumberFormat="1" applyFont="1" applyBorder="1"/>
    <xf numFmtId="0" fontId="4" fillId="0" borderId="9" xfId="0" applyFont="1" applyBorder="1" applyAlignment="1">
      <alignment horizontal="right"/>
    </xf>
    <xf numFmtId="0" fontId="4" fillId="0" borderId="9" xfId="0" applyFont="1" applyBorder="1" applyAlignment="1">
      <alignment horizontal="center"/>
    </xf>
    <xf numFmtId="0" fontId="4" fillId="0" borderId="10" xfId="0" applyFont="1" applyBorder="1" applyAlignment="1">
      <alignment horizontal="center"/>
    </xf>
    <xf numFmtId="0" fontId="0" fillId="0" borderId="7" xfId="0" applyBorder="1" applyAlignment="1">
      <alignment horizontal="left" wrapText="1"/>
    </xf>
    <xf numFmtId="8" fontId="5" fillId="0" borderId="3" xfId="0" applyNumberFormat="1" applyFont="1" applyBorder="1"/>
    <xf numFmtId="0" fontId="4" fillId="0" borderId="3" xfId="0" applyFont="1" applyBorder="1" applyAlignment="1">
      <alignment horizontal="right"/>
    </xf>
    <xf numFmtId="4" fontId="4" fillId="0" borderId="3" xfId="0" applyNumberFormat="1" applyFont="1" applyBorder="1" applyAlignment="1">
      <alignment horizontal="right"/>
    </xf>
    <xf numFmtId="0" fontId="0" fillId="0" borderId="0" xfId="0" applyAlignment="1">
      <alignment horizontal="center"/>
    </xf>
    <xf numFmtId="0" fontId="0" fillId="0" borderId="3" xfId="0" applyBorder="1" applyAlignment="1">
      <alignment horizontal="center"/>
    </xf>
    <xf numFmtId="0" fontId="0" fillId="3" borderId="3" xfId="0" applyFill="1" applyBorder="1" applyAlignment="1">
      <alignment horizontal="left" wrapText="1"/>
    </xf>
    <xf numFmtId="4" fontId="5" fillId="0" borderId="1" xfId="0" applyNumberFormat="1" applyFont="1" applyBorder="1" applyAlignment="1">
      <alignment horizontal="center" wrapText="1"/>
    </xf>
    <xf numFmtId="4" fontId="5" fillId="3" borderId="1" xfId="0" applyNumberFormat="1" applyFont="1" applyFill="1" applyBorder="1" applyAlignment="1">
      <alignment horizontal="center" wrapText="1"/>
    </xf>
    <xf numFmtId="4" fontId="5" fillId="2" borderId="1" xfId="0" applyNumberFormat="1" applyFont="1" applyFill="1" applyBorder="1" applyAlignment="1">
      <alignment horizontal="center" wrapText="1"/>
    </xf>
    <xf numFmtId="4" fontId="5" fillId="0" borderId="3" xfId="0" applyNumberFormat="1" applyFont="1" applyBorder="1" applyAlignment="1">
      <alignment horizontal="center" wrapText="1"/>
    </xf>
    <xf numFmtId="0" fontId="1" fillId="0" borderId="3" xfId="0" applyFont="1" applyBorder="1" applyAlignment="1">
      <alignment wrapText="1"/>
    </xf>
    <xf numFmtId="0" fontId="0" fillId="5" borderId="3" xfId="0" applyFill="1" applyBorder="1" applyAlignment="1">
      <alignment wrapText="1"/>
    </xf>
    <xf numFmtId="164" fontId="0" fillId="5" borderId="3" xfId="0" applyNumberFormat="1" applyFill="1" applyBorder="1" applyAlignment="1">
      <alignment horizontal="center" vertical="center" wrapText="1"/>
    </xf>
    <xf numFmtId="0" fontId="0" fillId="3" borderId="11" xfId="0" applyFill="1" applyBorder="1"/>
    <xf numFmtId="0" fontId="4" fillId="0" borderId="3" xfId="0" applyFont="1" applyBorder="1" applyAlignment="1">
      <alignment horizontal="center"/>
    </xf>
    <xf numFmtId="0" fontId="4" fillId="3" borderId="3" xfId="0" applyFont="1" applyFill="1" applyBorder="1" applyAlignment="1">
      <alignment horizontal="center"/>
    </xf>
    <xf numFmtId="0" fontId="0" fillId="0" borderId="7" xfId="0" applyBorder="1" applyAlignment="1">
      <alignment horizontal="center"/>
    </xf>
    <xf numFmtId="4" fontId="5" fillId="0" borderId="9" xfId="0" applyNumberFormat="1" applyFont="1" applyBorder="1" applyAlignment="1">
      <alignment horizontal="center" wrapText="1"/>
    </xf>
    <xf numFmtId="0" fontId="4" fillId="0" borderId="7" xfId="0" applyFont="1" applyBorder="1" applyAlignment="1">
      <alignment horizontal="center"/>
    </xf>
    <xf numFmtId="0" fontId="0" fillId="0" borderId="6" xfId="0" applyBorder="1" applyAlignment="1">
      <alignment horizontal="center"/>
    </xf>
    <xf numFmtId="0" fontId="0" fillId="0" borderId="6" xfId="0" applyBorder="1"/>
    <xf numFmtId="0" fontId="4" fillId="0" borderId="6" xfId="0" applyFont="1" applyBorder="1"/>
    <xf numFmtId="0" fontId="0" fillId="0" borderId="6" xfId="0" applyBorder="1" applyAlignment="1">
      <alignment wrapText="1"/>
    </xf>
    <xf numFmtId="4" fontId="5" fillId="0" borderId="6" xfId="0" applyNumberFormat="1" applyFont="1" applyBorder="1" applyAlignment="1">
      <alignment horizontal="center" wrapText="1"/>
    </xf>
    <xf numFmtId="8" fontId="5" fillId="0" borderId="6" xfId="0" applyNumberFormat="1" applyFont="1" applyBorder="1"/>
    <xf numFmtId="0" fontId="4" fillId="0" borderId="2" xfId="0" applyFont="1" applyBorder="1" applyAlignment="1">
      <alignment horizontal="right"/>
    </xf>
    <xf numFmtId="0" fontId="4" fillId="3" borderId="6" xfId="0" applyFont="1" applyFill="1" applyBorder="1"/>
    <xf numFmtId="0" fontId="4" fillId="3" borderId="12" xfId="0" applyFont="1" applyFill="1" applyBorder="1"/>
    <xf numFmtId="0" fontId="5" fillId="0" borderId="3" xfId="0" applyFont="1" applyBorder="1" applyAlignment="1">
      <alignment wrapText="1"/>
    </xf>
    <xf numFmtId="4" fontId="5" fillId="0" borderId="3" xfId="0" applyNumberFormat="1" applyFont="1" applyBorder="1" applyAlignment="1">
      <alignment horizontal="center"/>
    </xf>
    <xf numFmtId="4" fontId="5" fillId="0" borderId="9" xfId="0" applyNumberFormat="1" applyFont="1" applyBorder="1" applyAlignment="1">
      <alignment horizontal="center" vertical="center"/>
    </xf>
    <xf numFmtId="0" fontId="0" fillId="0" borderId="13" xfId="0" applyBorder="1"/>
    <xf numFmtId="4" fontId="5" fillId="0" borderId="3" xfId="0" applyNumberFormat="1" applyFont="1" applyBorder="1" applyAlignment="1">
      <alignment horizontal="center" vertical="center"/>
    </xf>
    <xf numFmtId="164" fontId="0" fillId="0" borderId="7" xfId="0" applyNumberFormat="1" applyBorder="1" applyAlignment="1">
      <alignment horizontal="center" vertical="center" wrapText="1"/>
    </xf>
    <xf numFmtId="0" fontId="0" fillId="3" borderId="3" xfId="0" applyFill="1" applyBorder="1" applyAlignment="1">
      <alignment horizontal="center"/>
    </xf>
    <xf numFmtId="0" fontId="0" fillId="0" borderId="0" xfId="0" applyAlignment="1">
      <alignment horizontal="center" vertical="center"/>
    </xf>
    <xf numFmtId="0" fontId="0" fillId="0" borderId="3" xfId="0" applyBorder="1" applyAlignment="1">
      <alignment horizontal="center" vertical="center"/>
    </xf>
    <xf numFmtId="0" fontId="6" fillId="0" borderId="3" xfId="0" applyFont="1" applyBorder="1" applyAlignment="1">
      <alignment horizontal="center" vertical="center" wrapText="1"/>
    </xf>
    <xf numFmtId="0" fontId="1" fillId="0" borderId="3" xfId="0" applyFont="1" applyBorder="1" applyAlignment="1">
      <alignment horizontal="center" vertical="center"/>
    </xf>
    <xf numFmtId="0" fontId="0" fillId="5" borderId="3" xfId="0" applyFill="1" applyBorder="1" applyAlignment="1">
      <alignment vertical="center" wrapText="1"/>
    </xf>
    <xf numFmtId="0" fontId="0" fillId="0" borderId="3" xfId="0" applyBorder="1" applyAlignment="1">
      <alignment vertical="center"/>
    </xf>
    <xf numFmtId="0" fontId="0" fillId="0" borderId="7" xfId="0" applyBorder="1" applyAlignment="1">
      <alignment horizontal="center" vertical="center"/>
    </xf>
    <xf numFmtId="0" fontId="0" fillId="0" borderId="7" xfId="0" applyBorder="1" applyAlignment="1">
      <alignment vertical="center"/>
    </xf>
    <xf numFmtId="0" fontId="0" fillId="0" borderId="3" xfId="0" applyBorder="1" applyAlignment="1">
      <alignment horizontal="center" vertical="center" wrapText="1"/>
    </xf>
    <xf numFmtId="8" fontId="5" fillId="0" borderId="3" xfId="0" applyNumberFormat="1" applyFont="1" applyBorder="1" applyAlignment="1">
      <alignment vertical="center"/>
    </xf>
    <xf numFmtId="4" fontId="4" fillId="0" borderId="3" xfId="0" applyNumberFormat="1" applyFont="1" applyBorder="1" applyAlignment="1">
      <alignment horizontal="right" vertical="center"/>
    </xf>
    <xf numFmtId="0" fontId="1" fillId="0" borderId="3" xfId="0" applyFont="1" applyBorder="1" applyAlignment="1">
      <alignment horizontal="center" vertical="center" wrapText="1"/>
    </xf>
    <xf numFmtId="0" fontId="4" fillId="6" borderId="1" xfId="0" applyFont="1" applyFill="1" applyBorder="1"/>
    <xf numFmtId="0" fontId="4" fillId="7" borderId="4" xfId="0" applyFont="1" applyFill="1" applyBorder="1"/>
    <xf numFmtId="0" fontId="4" fillId="7" borderId="1" xfId="0" applyFont="1" applyFill="1" applyBorder="1"/>
    <xf numFmtId="0" fontId="4" fillId="6" borderId="8" xfId="0" applyFont="1" applyFill="1" applyBorder="1"/>
    <xf numFmtId="0" fontId="4" fillId="6" borderId="9" xfId="0" applyFont="1" applyFill="1" applyBorder="1"/>
    <xf numFmtId="0" fontId="4" fillId="7" borderId="3" xfId="0" applyFont="1" applyFill="1" applyBorder="1"/>
    <xf numFmtId="0" fontId="4" fillId="6" borderId="3" xfId="0" applyFont="1" applyFill="1" applyBorder="1"/>
    <xf numFmtId="0" fontId="4" fillId="6" borderId="4" xfId="0" applyFont="1" applyFill="1" applyBorder="1"/>
    <xf numFmtId="0" fontId="12" fillId="0" borderId="3" xfId="0" applyFont="1" applyBorder="1" applyAlignment="1">
      <alignment horizontal="center"/>
    </xf>
    <xf numFmtId="0" fontId="12" fillId="0" borderId="3" xfId="0" applyFont="1" applyBorder="1" applyAlignment="1">
      <alignment horizontal="center" vertical="center"/>
    </xf>
    <xf numFmtId="0" fontId="12" fillId="0" borderId="7" xfId="0" applyFont="1" applyBorder="1" applyAlignment="1">
      <alignment horizontal="center" vertical="center"/>
    </xf>
    <xf numFmtId="0" fontId="10" fillId="0" borderId="7" xfId="0" applyFont="1" applyBorder="1" applyAlignment="1">
      <alignment vertical="center" wrapText="1"/>
    </xf>
    <xf numFmtId="0" fontId="0" fillId="0" borderId="7" xfId="0" applyBorder="1" applyAlignment="1">
      <alignment wrapText="1"/>
    </xf>
    <xf numFmtId="0" fontId="11" fillId="0" borderId="3" xfId="0" applyFont="1" applyBorder="1" applyAlignment="1">
      <alignment vertical="center" wrapText="1"/>
    </xf>
    <xf numFmtId="0" fontId="10" fillId="0" borderId="3" xfId="0" applyFont="1" applyBorder="1" applyAlignment="1">
      <alignment horizontal="center" vertical="center"/>
    </xf>
    <xf numFmtId="0" fontId="0" fillId="0" borderId="3" xfId="0" applyBorder="1" applyAlignment="1">
      <alignment vertical="top" wrapText="1"/>
    </xf>
    <xf numFmtId="0" fontId="0" fillId="6" borderId="3" xfId="0" applyFill="1" applyBorder="1" applyAlignment="1">
      <alignment vertical="center"/>
    </xf>
    <xf numFmtId="0" fontId="5" fillId="0" borderId="3" xfId="0" applyFont="1" applyBorder="1" applyAlignment="1">
      <alignment vertical="center" wrapText="1"/>
    </xf>
    <xf numFmtId="0" fontId="0" fillId="0" borderId="3" xfId="0" applyBorder="1" applyAlignment="1">
      <alignment vertical="center" wrapText="1"/>
    </xf>
    <xf numFmtId="8" fontId="0" fillId="0" borderId="3" xfId="0" applyNumberFormat="1" applyBorder="1" applyAlignment="1">
      <alignment horizontal="center" vertical="center"/>
    </xf>
    <xf numFmtId="0" fontId="6" fillId="0" borderId="11" xfId="0" applyFont="1" applyBorder="1" applyAlignment="1">
      <alignment horizontal="right" wrapText="1"/>
    </xf>
    <xf numFmtId="0" fontId="6" fillId="0" borderId="14"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B1B-D6ED-4189-B0D4-039C207FE140}">
  <sheetPr filterMode="1"/>
  <dimension ref="A1:Q23"/>
  <sheetViews>
    <sheetView tabSelected="1" workbookViewId="0">
      <pane xSplit="1" ySplit="2" topLeftCell="B20" activePane="bottomRight" state="frozen"/>
      <selection pane="topRight" activeCell="B1" sqref="B1"/>
      <selection pane="bottomLeft" activeCell="A3" sqref="A3"/>
      <selection pane="bottomRight" activeCell="H19" sqref="H19"/>
    </sheetView>
  </sheetViews>
  <sheetFormatPr defaultRowHeight="15" x14ac:dyDescent="0.25"/>
  <cols>
    <col min="1" max="1" width="6.42578125" style="51" customWidth="1"/>
    <col min="2" max="2" width="11.42578125" style="51" customWidth="1"/>
    <col min="3" max="3" width="9.7109375" style="51" customWidth="1"/>
    <col min="4" max="4" width="8.5703125" customWidth="1"/>
    <col min="5" max="5" width="8.28515625" hidden="1" customWidth="1"/>
    <col min="6" max="6" width="8.7109375" hidden="1" customWidth="1"/>
    <col min="7" max="7" width="8.140625" hidden="1" customWidth="1"/>
    <col min="8" max="8" width="61.28515625" style="11" customWidth="1"/>
    <col min="9" max="9" width="16.5703125" style="51" customWidth="1"/>
    <col min="10" max="10" width="13.140625" customWidth="1"/>
    <col min="11" max="11" width="11.140625" customWidth="1"/>
    <col min="14" max="15" width="10.28515625" customWidth="1"/>
    <col min="16" max="16" width="74.42578125" style="11" customWidth="1"/>
    <col min="17" max="17" width="12.28515625" style="83" customWidth="1"/>
  </cols>
  <sheetData>
    <row r="1" spans="1:17" x14ac:dyDescent="0.25">
      <c r="E1" s="7"/>
    </row>
    <row r="2" spans="1:17" s="16" customFormat="1" ht="30" x14ac:dyDescent="0.25">
      <c r="A2" s="115" t="s">
        <v>0</v>
      </c>
      <c r="B2" s="116"/>
      <c r="C2" s="12" t="s">
        <v>1</v>
      </c>
      <c r="D2" s="12" t="s">
        <v>2</v>
      </c>
      <c r="E2" s="13" t="s">
        <v>3</v>
      </c>
      <c r="F2" s="14" t="s">
        <v>4</v>
      </c>
      <c r="G2" s="14" t="s">
        <v>5</v>
      </c>
      <c r="H2" s="14" t="s">
        <v>6</v>
      </c>
      <c r="I2" s="14" t="s">
        <v>7</v>
      </c>
      <c r="J2" s="14" t="s">
        <v>8</v>
      </c>
      <c r="K2" s="15" t="s">
        <v>9</v>
      </c>
      <c r="L2" s="15" t="s">
        <v>10</v>
      </c>
      <c r="M2" s="15" t="s">
        <v>11</v>
      </c>
      <c r="N2" s="17" t="s">
        <v>12</v>
      </c>
      <c r="O2" s="19" t="s">
        <v>13</v>
      </c>
      <c r="P2" s="19" t="s">
        <v>14</v>
      </c>
      <c r="Q2" s="85" t="s">
        <v>15</v>
      </c>
    </row>
    <row r="3" spans="1:17" ht="30" hidden="1" x14ac:dyDescent="0.25">
      <c r="A3" s="52">
        <v>1</v>
      </c>
      <c r="B3" s="52">
        <v>86036466</v>
      </c>
      <c r="C3" s="51" t="s">
        <v>16</v>
      </c>
      <c r="D3" s="10" t="s">
        <v>17</v>
      </c>
      <c r="E3" s="96">
        <v>1</v>
      </c>
      <c r="F3" s="95">
        <v>1</v>
      </c>
      <c r="G3" s="97">
        <v>1</v>
      </c>
      <c r="H3" s="1" t="s">
        <v>18</v>
      </c>
      <c r="I3" s="54">
        <f>J3/760</f>
        <v>4</v>
      </c>
      <c r="J3" s="2">
        <v>3040</v>
      </c>
      <c r="K3" s="3">
        <v>3739.2</v>
      </c>
      <c r="L3" s="4" t="s">
        <v>19</v>
      </c>
      <c r="M3" s="4" t="s">
        <v>19</v>
      </c>
      <c r="N3" s="18" t="s">
        <v>19</v>
      </c>
      <c r="O3" s="62" t="s">
        <v>20</v>
      </c>
      <c r="P3" s="26"/>
      <c r="Q3" s="84"/>
    </row>
    <row r="4" spans="1:17" ht="30" hidden="1" x14ac:dyDescent="0.25">
      <c r="A4" s="52">
        <v>1</v>
      </c>
      <c r="B4" s="52"/>
      <c r="C4" s="52" t="s">
        <v>16</v>
      </c>
      <c r="D4" s="10" t="s">
        <v>17</v>
      </c>
      <c r="E4" s="96">
        <v>3</v>
      </c>
      <c r="F4" s="95">
        <v>1</v>
      </c>
      <c r="G4" s="97">
        <v>3</v>
      </c>
      <c r="H4" s="1" t="s">
        <v>21</v>
      </c>
      <c r="I4" s="54">
        <v>4</v>
      </c>
      <c r="J4" s="2">
        <v>3040</v>
      </c>
      <c r="K4" s="3">
        <v>3739.2</v>
      </c>
      <c r="L4" s="4" t="s">
        <v>19</v>
      </c>
      <c r="M4" s="4" t="s">
        <v>19</v>
      </c>
      <c r="N4" s="18" t="s">
        <v>19</v>
      </c>
      <c r="O4" s="62" t="s">
        <v>20</v>
      </c>
      <c r="P4" s="26"/>
      <c r="Q4" s="84"/>
    </row>
    <row r="5" spans="1:17" ht="30" hidden="1" x14ac:dyDescent="0.25">
      <c r="A5" s="52">
        <v>1</v>
      </c>
      <c r="B5" s="52">
        <v>86036466</v>
      </c>
      <c r="C5" s="52" t="s">
        <v>16</v>
      </c>
      <c r="D5" s="10" t="s">
        <v>17</v>
      </c>
      <c r="E5" s="102">
        <v>7</v>
      </c>
      <c r="F5" s="95">
        <v>1</v>
      </c>
      <c r="G5" s="95">
        <v>7</v>
      </c>
      <c r="H5" s="1" t="s">
        <v>22</v>
      </c>
      <c r="I5" s="54">
        <v>1</v>
      </c>
      <c r="J5" s="2">
        <v>760</v>
      </c>
      <c r="K5" s="6">
        <v>934.8</v>
      </c>
      <c r="L5" s="4" t="s">
        <v>19</v>
      </c>
      <c r="M5" s="4" t="s">
        <v>19</v>
      </c>
      <c r="N5" s="18" t="s">
        <v>19</v>
      </c>
      <c r="O5" s="62" t="s">
        <v>20</v>
      </c>
      <c r="P5" s="26"/>
      <c r="Q5" s="84"/>
    </row>
    <row r="6" spans="1:17" ht="30" hidden="1" x14ac:dyDescent="0.25">
      <c r="A6" s="52">
        <v>1</v>
      </c>
      <c r="B6" s="52">
        <v>86036466</v>
      </c>
      <c r="C6" s="52" t="s">
        <v>16</v>
      </c>
      <c r="D6" s="10" t="s">
        <v>17</v>
      </c>
      <c r="E6" s="102">
        <v>8</v>
      </c>
      <c r="F6" s="95">
        <v>2</v>
      </c>
      <c r="G6" s="95">
        <v>8</v>
      </c>
      <c r="H6" s="1" t="s">
        <v>23</v>
      </c>
      <c r="I6" s="54">
        <f>J6/760</f>
        <v>3</v>
      </c>
      <c r="J6" s="2">
        <v>2280</v>
      </c>
      <c r="K6" s="3">
        <v>2804.4</v>
      </c>
      <c r="L6" s="4" t="s">
        <v>19</v>
      </c>
      <c r="M6" s="4" t="s">
        <v>19</v>
      </c>
      <c r="N6" s="18" t="s">
        <v>19</v>
      </c>
      <c r="O6" s="62" t="s">
        <v>20</v>
      </c>
      <c r="P6" s="26"/>
      <c r="Q6" s="84"/>
    </row>
    <row r="7" spans="1:17" ht="105" hidden="1" x14ac:dyDescent="0.25">
      <c r="A7" s="82">
        <v>1</v>
      </c>
      <c r="B7" s="82" t="s">
        <v>24</v>
      </c>
      <c r="C7" s="52" t="s">
        <v>16</v>
      </c>
      <c r="D7" s="31" t="s">
        <v>17</v>
      </c>
      <c r="E7" s="32">
        <v>5</v>
      </c>
      <c r="F7" s="33">
        <v>2</v>
      </c>
      <c r="G7" s="34">
        <v>5</v>
      </c>
      <c r="H7" s="35" t="s">
        <v>25</v>
      </c>
      <c r="I7" s="55">
        <v>1.5</v>
      </c>
      <c r="J7" s="36">
        <v>1140</v>
      </c>
      <c r="K7" s="37">
        <v>1402.2</v>
      </c>
      <c r="L7" s="38" t="s">
        <v>19</v>
      </c>
      <c r="M7" s="38" t="s">
        <v>19</v>
      </c>
      <c r="N7" s="39" t="s">
        <v>19</v>
      </c>
      <c r="O7" s="63" t="s">
        <v>20</v>
      </c>
      <c r="P7" s="53" t="s">
        <v>26</v>
      </c>
      <c r="Q7" s="86">
        <v>1.5</v>
      </c>
    </row>
    <row r="8" spans="1:17" ht="30" hidden="1" x14ac:dyDescent="0.25">
      <c r="A8" s="52">
        <v>1</v>
      </c>
      <c r="B8" s="52"/>
      <c r="C8" s="52" t="s">
        <v>16</v>
      </c>
      <c r="D8" s="10" t="s">
        <v>17</v>
      </c>
      <c r="E8" s="9"/>
      <c r="F8" s="95">
        <v>2</v>
      </c>
      <c r="G8" s="5"/>
      <c r="H8" s="1" t="s">
        <v>27</v>
      </c>
      <c r="I8" s="54">
        <v>1</v>
      </c>
      <c r="J8" s="2">
        <v>760</v>
      </c>
      <c r="K8" s="6">
        <v>934.8</v>
      </c>
      <c r="L8" s="4" t="s">
        <v>20</v>
      </c>
      <c r="M8" s="4" t="s">
        <v>19</v>
      </c>
      <c r="N8" s="18" t="s">
        <v>20</v>
      </c>
      <c r="O8" s="62" t="s">
        <v>20</v>
      </c>
      <c r="P8" s="26"/>
      <c r="Q8" s="84"/>
    </row>
    <row r="9" spans="1:17" ht="45" x14ac:dyDescent="0.25">
      <c r="A9" s="52">
        <v>1</v>
      </c>
      <c r="B9" s="52"/>
      <c r="C9" s="52" t="s">
        <v>16</v>
      </c>
      <c r="D9" s="28" t="s">
        <v>28</v>
      </c>
      <c r="E9" s="29">
        <v>6</v>
      </c>
      <c r="F9" s="30">
        <v>2</v>
      </c>
      <c r="G9" s="30">
        <v>6</v>
      </c>
      <c r="H9" s="8" t="s">
        <v>29</v>
      </c>
      <c r="I9" s="56">
        <v>1.5</v>
      </c>
      <c r="J9" s="20">
        <v>1140</v>
      </c>
      <c r="K9" s="21">
        <v>1402.2</v>
      </c>
      <c r="L9" s="22" t="s">
        <v>19</v>
      </c>
      <c r="M9" s="22" t="s">
        <v>19</v>
      </c>
      <c r="N9" s="23" t="s">
        <v>19</v>
      </c>
      <c r="O9" s="24" t="s">
        <v>20</v>
      </c>
      <c r="P9" s="27" t="s">
        <v>30</v>
      </c>
      <c r="Q9" s="58" t="s">
        <v>31</v>
      </c>
    </row>
    <row r="10" spans="1:17" ht="30" hidden="1" x14ac:dyDescent="0.25">
      <c r="A10" s="52">
        <v>1</v>
      </c>
      <c r="B10" s="52"/>
      <c r="C10" s="52" t="s">
        <v>16</v>
      </c>
      <c r="D10" s="10" t="s">
        <v>17</v>
      </c>
      <c r="E10" s="96">
        <v>2</v>
      </c>
      <c r="F10" s="95">
        <v>2</v>
      </c>
      <c r="G10" s="97">
        <v>2</v>
      </c>
      <c r="H10" s="1" t="s">
        <v>32</v>
      </c>
      <c r="I10" s="54">
        <v>1</v>
      </c>
      <c r="J10" s="2">
        <v>760</v>
      </c>
      <c r="K10" s="6">
        <v>934.8</v>
      </c>
      <c r="L10" s="4" t="s">
        <v>19</v>
      </c>
      <c r="M10" s="4" t="s">
        <v>19</v>
      </c>
      <c r="N10" s="18" t="s">
        <v>19</v>
      </c>
      <c r="O10" s="62" t="s">
        <v>20</v>
      </c>
      <c r="P10" s="26"/>
      <c r="Q10" s="84"/>
    </row>
    <row r="11" spans="1:17" hidden="1" x14ac:dyDescent="0.25">
      <c r="A11" s="64">
        <v>1</v>
      </c>
      <c r="B11" s="52">
        <v>86036466</v>
      </c>
      <c r="C11" s="52" t="s">
        <v>16</v>
      </c>
      <c r="D11" s="41" t="s">
        <v>17</v>
      </c>
      <c r="E11" s="98">
        <v>9</v>
      </c>
      <c r="F11" s="99">
        <v>3</v>
      </c>
      <c r="G11" s="99">
        <v>9</v>
      </c>
      <c r="H11" s="42" t="s">
        <v>33</v>
      </c>
      <c r="I11" s="65">
        <f>J11/760</f>
        <v>0.75</v>
      </c>
      <c r="J11" s="43">
        <v>570</v>
      </c>
      <c r="K11" s="44">
        <v>701.1</v>
      </c>
      <c r="L11" s="45" t="s">
        <v>19</v>
      </c>
      <c r="M11" s="45" t="s">
        <v>19</v>
      </c>
      <c r="N11" s="46" t="s">
        <v>19</v>
      </c>
      <c r="O11" s="66" t="s">
        <v>20</v>
      </c>
      <c r="P11" s="47"/>
      <c r="Q11" s="84"/>
    </row>
    <row r="12" spans="1:17" hidden="1" x14ac:dyDescent="0.25">
      <c r="A12" s="52">
        <v>1</v>
      </c>
      <c r="B12" s="52">
        <v>86036466</v>
      </c>
      <c r="C12" s="52" t="s">
        <v>16</v>
      </c>
      <c r="D12" s="10" t="s">
        <v>17</v>
      </c>
      <c r="E12" s="100">
        <v>4</v>
      </c>
      <c r="F12" s="101">
        <v>3</v>
      </c>
      <c r="G12" s="100">
        <v>4</v>
      </c>
      <c r="H12" s="76" t="s">
        <v>34</v>
      </c>
      <c r="I12" s="77">
        <f t="shared" ref="I12" si="0">J12/760</f>
        <v>1</v>
      </c>
      <c r="J12" s="48">
        <v>760</v>
      </c>
      <c r="K12" s="49">
        <v>934.8</v>
      </c>
      <c r="L12" s="62" t="s">
        <v>19</v>
      </c>
      <c r="M12" s="62" t="s">
        <v>20</v>
      </c>
      <c r="N12" s="62" t="s">
        <v>19</v>
      </c>
      <c r="O12" s="62" t="s">
        <v>20</v>
      </c>
      <c r="P12" s="26"/>
      <c r="Q12" s="84"/>
    </row>
    <row r="13" spans="1:17" hidden="1" x14ac:dyDescent="0.25">
      <c r="A13" s="67">
        <v>2</v>
      </c>
      <c r="B13" s="103">
        <v>86037012</v>
      </c>
      <c r="C13" s="52" t="s">
        <v>16</v>
      </c>
      <c r="D13" s="68" t="s">
        <v>17</v>
      </c>
      <c r="E13" s="69"/>
      <c r="F13" s="69"/>
      <c r="G13" s="69"/>
      <c r="H13" s="70" t="s">
        <v>35</v>
      </c>
      <c r="I13" s="71">
        <v>2.5</v>
      </c>
      <c r="J13" s="72">
        <f>2.5*760</f>
        <v>1900</v>
      </c>
      <c r="K13" s="73">
        <f t="shared" ref="K13:K15" si="1">J13*1.23</f>
        <v>2337</v>
      </c>
      <c r="L13" s="74"/>
      <c r="M13" s="74"/>
      <c r="N13" s="75"/>
      <c r="O13" s="74"/>
      <c r="P13" s="70" t="s">
        <v>36</v>
      </c>
      <c r="Q13" s="84"/>
    </row>
    <row r="14" spans="1:17" ht="30" hidden="1" x14ac:dyDescent="0.25">
      <c r="A14" s="52">
        <v>2</v>
      </c>
      <c r="B14" s="103">
        <v>86037012</v>
      </c>
      <c r="C14" s="52" t="s">
        <v>16</v>
      </c>
      <c r="D14" s="10" t="s">
        <v>17</v>
      </c>
      <c r="E14" s="10"/>
      <c r="F14" s="10"/>
      <c r="G14" s="10"/>
      <c r="H14" s="25" t="s">
        <v>37</v>
      </c>
      <c r="I14" s="57">
        <v>2.5</v>
      </c>
      <c r="J14" s="48">
        <f>2.5*760</f>
        <v>1900</v>
      </c>
      <c r="K14" s="50">
        <f t="shared" si="1"/>
        <v>2337</v>
      </c>
      <c r="L14" s="31"/>
      <c r="M14" s="31"/>
      <c r="N14" s="61"/>
      <c r="O14" s="31"/>
      <c r="P14" s="25" t="s">
        <v>36</v>
      </c>
      <c r="Q14" s="84"/>
    </row>
    <row r="15" spans="1:17" ht="30" hidden="1" x14ac:dyDescent="0.25">
      <c r="A15" s="52">
        <v>2</v>
      </c>
      <c r="B15" s="103"/>
      <c r="C15" s="52" t="s">
        <v>16</v>
      </c>
      <c r="D15" s="10" t="s">
        <v>17</v>
      </c>
      <c r="E15" s="10"/>
      <c r="F15" s="10"/>
      <c r="G15" s="10"/>
      <c r="H15" s="25" t="s">
        <v>38</v>
      </c>
      <c r="I15" s="52">
        <v>4</v>
      </c>
      <c r="J15" s="48">
        <f>4*760</f>
        <v>3040</v>
      </c>
      <c r="K15" s="50">
        <f t="shared" si="1"/>
        <v>3739.2</v>
      </c>
      <c r="L15" s="31"/>
      <c r="M15" s="31"/>
      <c r="N15" s="61"/>
      <c r="O15" s="31"/>
      <c r="P15" s="25" t="s">
        <v>36</v>
      </c>
      <c r="Q15" s="84"/>
    </row>
    <row r="16" spans="1:17" ht="105" hidden="1" x14ac:dyDescent="0.25">
      <c r="A16" s="89">
        <v>3</v>
      </c>
      <c r="B16" s="105">
        <v>86037526</v>
      </c>
      <c r="C16" s="89" t="s">
        <v>16</v>
      </c>
      <c r="D16" s="90" t="s">
        <v>17</v>
      </c>
      <c r="E16" s="88"/>
      <c r="F16" s="88"/>
      <c r="G16" s="88"/>
      <c r="H16" s="106" t="s">
        <v>39</v>
      </c>
      <c r="I16" s="78">
        <f t="shared" ref="I16:I18" si="2">J16/760</f>
        <v>0.625</v>
      </c>
      <c r="J16" s="81">
        <v>475</v>
      </c>
      <c r="K16" s="81">
        <v>584.25</v>
      </c>
      <c r="L16" s="41"/>
      <c r="M16" s="41"/>
      <c r="N16" s="79"/>
      <c r="O16" s="89" t="s">
        <v>19</v>
      </c>
      <c r="P16" s="107" t="s">
        <v>40</v>
      </c>
      <c r="Q16" s="84"/>
    </row>
    <row r="17" spans="1:17" ht="409.5" hidden="1" x14ac:dyDescent="0.25">
      <c r="A17" s="84">
        <v>3</v>
      </c>
      <c r="B17" s="104">
        <v>86037526</v>
      </c>
      <c r="C17" s="84" t="s">
        <v>16</v>
      </c>
      <c r="D17" s="88" t="s">
        <v>17</v>
      </c>
      <c r="E17" s="90"/>
      <c r="F17" s="90"/>
      <c r="G17" s="90"/>
      <c r="H17" s="108" t="s">
        <v>41</v>
      </c>
      <c r="I17" s="80">
        <f>J17/760</f>
        <v>8</v>
      </c>
      <c r="J17" s="40">
        <v>6080</v>
      </c>
      <c r="K17" s="40">
        <v>7467.15</v>
      </c>
      <c r="L17" s="84" t="s">
        <v>19</v>
      </c>
      <c r="M17" s="84" t="s">
        <v>19</v>
      </c>
      <c r="N17" s="88" t="s">
        <v>19</v>
      </c>
      <c r="O17" s="109" t="s">
        <v>19</v>
      </c>
      <c r="P17" s="110" t="s">
        <v>42</v>
      </c>
      <c r="Q17" s="84">
        <v>3</v>
      </c>
    </row>
    <row r="18" spans="1:17" ht="105" x14ac:dyDescent="0.25">
      <c r="A18" s="91" t="s">
        <v>43</v>
      </c>
      <c r="B18" s="91"/>
      <c r="C18" s="91" t="s">
        <v>44</v>
      </c>
      <c r="D18" s="88" t="s">
        <v>28</v>
      </c>
      <c r="E18" s="88"/>
      <c r="F18" s="10"/>
      <c r="G18" s="10"/>
      <c r="H18" s="87" t="s">
        <v>45</v>
      </c>
      <c r="I18" s="80">
        <f t="shared" si="2"/>
        <v>12</v>
      </c>
      <c r="J18" s="60">
        <v>9120</v>
      </c>
      <c r="K18" s="60">
        <v>11217.6</v>
      </c>
      <c r="L18" s="84" t="s">
        <v>19</v>
      </c>
      <c r="M18" s="84" t="s">
        <v>19</v>
      </c>
      <c r="N18" s="88" t="s">
        <v>19</v>
      </c>
      <c r="O18" s="86"/>
      <c r="P18" s="59" t="s">
        <v>46</v>
      </c>
      <c r="Q18" s="84"/>
    </row>
    <row r="19" spans="1:17" ht="60" x14ac:dyDescent="0.25">
      <c r="A19" s="91" t="s">
        <v>43</v>
      </c>
      <c r="B19" s="91"/>
      <c r="C19" s="94" t="s">
        <v>44</v>
      </c>
      <c r="D19" s="88" t="s">
        <v>28</v>
      </c>
      <c r="E19" s="10"/>
      <c r="F19" s="10"/>
      <c r="G19" s="10"/>
      <c r="H19" s="111" t="s">
        <v>47</v>
      </c>
      <c r="I19" s="80">
        <f>J19/760</f>
        <v>3.5</v>
      </c>
      <c r="J19" s="40">
        <f>3.5*760</f>
        <v>2660</v>
      </c>
      <c r="K19" s="40">
        <f t="shared" ref="K19" si="3">J19*1.23</f>
        <v>3271.7999999999997</v>
      </c>
      <c r="L19" s="84" t="s">
        <v>19</v>
      </c>
      <c r="M19" s="84" t="s">
        <v>19</v>
      </c>
      <c r="N19" s="88" t="s">
        <v>19</v>
      </c>
      <c r="O19" s="10"/>
      <c r="P19" s="25"/>
      <c r="Q19" s="10"/>
    </row>
    <row r="20" spans="1:17" ht="60" x14ac:dyDescent="0.25">
      <c r="A20" s="91" t="s">
        <v>43</v>
      </c>
      <c r="B20" s="91"/>
      <c r="C20" s="94" t="s">
        <v>44</v>
      </c>
      <c r="D20" s="88" t="s">
        <v>28</v>
      </c>
      <c r="E20" s="10"/>
      <c r="F20" s="10"/>
      <c r="G20" s="10"/>
      <c r="H20" s="112" t="s">
        <v>48</v>
      </c>
      <c r="I20" s="80">
        <f>J20/760</f>
        <v>3.75</v>
      </c>
      <c r="J20" s="92">
        <v>2850</v>
      </c>
      <c r="K20" s="93">
        <v>3505.5</v>
      </c>
      <c r="L20" s="10"/>
      <c r="M20" s="84" t="s">
        <v>19</v>
      </c>
      <c r="N20" s="10"/>
      <c r="O20" s="10"/>
      <c r="P20" s="25"/>
      <c r="Q20" s="10"/>
    </row>
    <row r="21" spans="1:17" ht="60" x14ac:dyDescent="0.25">
      <c r="A21" s="91" t="s">
        <v>43</v>
      </c>
      <c r="B21" s="91"/>
      <c r="C21" s="91" t="s">
        <v>44</v>
      </c>
      <c r="D21" s="88" t="s">
        <v>28</v>
      </c>
      <c r="E21" s="10"/>
      <c r="F21" s="10"/>
      <c r="G21" s="10"/>
      <c r="H21" s="113" t="s">
        <v>49</v>
      </c>
      <c r="I21" s="91" t="s">
        <v>50</v>
      </c>
      <c r="J21" s="10"/>
      <c r="K21" s="10"/>
      <c r="L21" s="10"/>
      <c r="M21" s="10"/>
      <c r="N21" s="10"/>
      <c r="O21" s="10"/>
      <c r="P21" s="25" t="s">
        <v>51</v>
      </c>
      <c r="Q21" s="10">
        <v>1.5</v>
      </c>
    </row>
    <row r="22" spans="1:17" ht="120" x14ac:dyDescent="0.25">
      <c r="A22" s="91" t="s">
        <v>43</v>
      </c>
      <c r="B22" s="91"/>
      <c r="C22" s="94" t="s">
        <v>44</v>
      </c>
      <c r="D22" s="88" t="s">
        <v>28</v>
      </c>
      <c r="E22" s="10"/>
      <c r="F22" s="10"/>
      <c r="G22" s="10"/>
      <c r="H22" s="113" t="s">
        <v>52</v>
      </c>
      <c r="I22" s="114">
        <f>J22/760</f>
        <v>9.75</v>
      </c>
      <c r="J22" s="92">
        <v>7410</v>
      </c>
      <c r="K22" s="93">
        <v>9114.2999999999993</v>
      </c>
      <c r="L22" s="88"/>
      <c r="M22" s="88"/>
      <c r="N22" s="88"/>
      <c r="O22" s="10"/>
      <c r="P22" s="25" t="s">
        <v>53</v>
      </c>
      <c r="Q22" s="10"/>
    </row>
    <row r="23" spans="1:17" ht="150" x14ac:dyDescent="0.25">
      <c r="A23" s="91" t="s">
        <v>43</v>
      </c>
      <c r="B23" s="91"/>
      <c r="C23" s="91" t="s">
        <v>44</v>
      </c>
      <c r="D23" s="88" t="s">
        <v>28</v>
      </c>
      <c r="E23" s="10"/>
      <c r="F23" s="10"/>
      <c r="G23" s="10"/>
      <c r="H23" s="113" t="s">
        <v>54</v>
      </c>
      <c r="I23" s="91" t="s">
        <v>50</v>
      </c>
      <c r="J23" s="10"/>
      <c r="K23" s="10"/>
      <c r="L23" s="52" t="s">
        <v>19</v>
      </c>
      <c r="M23" s="10"/>
      <c r="N23" s="10" t="s">
        <v>19</v>
      </c>
      <c r="O23" s="10"/>
      <c r="P23" s="25" t="s">
        <v>55</v>
      </c>
      <c r="Q23" s="84"/>
    </row>
  </sheetData>
  <autoFilter ref="A2:P23" xr:uid="{2862DB1B-D6ED-4189-B0D4-039C207FE140}">
    <filterColumn colId="3">
      <filters>
        <filter val="Q1/2026"/>
      </filters>
    </filterColumn>
  </autoFilter>
  <mergeCells count="1">
    <mergeCell ref="A2:B2"/>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237D-6824-48F5-869C-F388EE8F4497}">
  <dimension ref="A1:H2"/>
  <sheetViews>
    <sheetView workbookViewId="0">
      <selection activeCell="D9" sqref="D9"/>
    </sheetView>
  </sheetViews>
  <sheetFormatPr defaultRowHeight="15" x14ac:dyDescent="0.25"/>
  <cols>
    <col min="2" max="2" width="25.140625" customWidth="1"/>
    <col min="3" max="3" width="70.140625" customWidth="1"/>
    <col min="5" max="5" width="13.28515625" customWidth="1"/>
    <col min="6" max="6" width="17.7109375" customWidth="1"/>
    <col min="7" max="7" width="35.5703125" customWidth="1"/>
    <col min="8" max="8" width="18" customWidth="1"/>
  </cols>
  <sheetData>
    <row r="1" spans="1:8" x14ac:dyDescent="0.25">
      <c r="D1" t="s">
        <v>7</v>
      </c>
      <c r="E1" t="s">
        <v>8</v>
      </c>
      <c r="F1" t="s">
        <v>9</v>
      </c>
    </row>
    <row r="2" spans="1:8" x14ac:dyDescent="0.25">
      <c r="A2" s="10" t="s">
        <v>17</v>
      </c>
      <c r="B2" s="10" t="s">
        <v>56</v>
      </c>
      <c r="C2" s="10" t="s">
        <v>57</v>
      </c>
      <c r="D2" s="10">
        <f>E2/760</f>
        <v>6.25</v>
      </c>
      <c r="E2" s="10">
        <f>F2/1.23</f>
        <v>4750</v>
      </c>
      <c r="F2" s="10">
        <v>5842.5</v>
      </c>
      <c r="G2" s="10" t="s">
        <v>58</v>
      </c>
      <c r="H2" s="10"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vt:lpstr>
      <vt:lpstr>Formulare</vt:lpstr>
    </vt:vector>
  </TitlesOfParts>
  <Manager/>
  <Company>Tatra banka, 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BIELIKOVÁ</dc:creator>
  <cp:keywords/>
  <dc:description/>
  <cp:lastModifiedBy>Lukáš ŠINAĽ</cp:lastModifiedBy>
  <cp:revision/>
  <dcterms:created xsi:type="dcterms:W3CDTF">2025-12-01T14:46:04Z</dcterms:created>
  <dcterms:modified xsi:type="dcterms:W3CDTF">2025-12-09T12:10:20Z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60e55f-9d2d-43f4-8b64-8be9a254dee6_Enabled">
    <vt:lpwstr>true</vt:lpwstr>
  </property>
  <property fmtid="{D5CDD505-2E9C-101B-9397-08002B2CF9AE}" pid="3" name="MSIP_Label_e560e55f-9d2d-43f4-8b64-8be9a254dee6_SetDate">
    <vt:lpwstr>2025-12-01T14:50:36Z</vt:lpwstr>
  </property>
  <property fmtid="{D5CDD505-2E9C-101B-9397-08002B2CF9AE}" pid="4" name="MSIP_Label_e560e55f-9d2d-43f4-8b64-8be9a254dee6_Method">
    <vt:lpwstr>Standard</vt:lpwstr>
  </property>
  <property fmtid="{D5CDD505-2E9C-101B-9397-08002B2CF9AE}" pid="5" name="MSIP_Label_e560e55f-9d2d-43f4-8b64-8be9a254dee6_Name">
    <vt:lpwstr>Whole RBI Group_0</vt:lpwstr>
  </property>
  <property fmtid="{D5CDD505-2E9C-101B-9397-08002B2CF9AE}" pid="6" name="MSIP_Label_e560e55f-9d2d-43f4-8b64-8be9a254dee6_SiteId">
    <vt:lpwstr>9b511fda-f0b1-43a5-b06e-1e720f64520a</vt:lpwstr>
  </property>
  <property fmtid="{D5CDD505-2E9C-101B-9397-08002B2CF9AE}" pid="7" name="MSIP_Label_e560e55f-9d2d-43f4-8b64-8be9a254dee6_ActionId">
    <vt:lpwstr>094ed2b1-83a2-46ad-9912-501ed610c6d4</vt:lpwstr>
  </property>
  <property fmtid="{D5CDD505-2E9C-101B-9397-08002B2CF9AE}" pid="8" name="MSIP_Label_e560e55f-9d2d-43f4-8b64-8be9a254dee6_ContentBits">
    <vt:lpwstr>0</vt:lpwstr>
  </property>
  <property fmtid="{D5CDD505-2E9C-101B-9397-08002B2CF9AE}" pid="9" name="MSIP_Label_e560e55f-9d2d-43f4-8b64-8be9a254dee6_Tag">
    <vt:lpwstr>10, 3, 0, 1</vt:lpwstr>
  </property>
</Properties>
</file>