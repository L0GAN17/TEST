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2694D04C-FDC7-43B9-9570-ECB30D3E14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gister" sheetId="1" r:id="rId1"/>
    <sheet name="Dashboard" sheetId="2" r:id="rId2"/>
    <sheet name="Lists" sheetId="3" state="hidden" r:id="rId3"/>
    <sheet name="Navo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2" i="2"/>
  <c r="E21" i="2"/>
  <c r="E20" i="2"/>
  <c r="E19" i="2"/>
  <c r="E18" i="2"/>
  <c r="E17" i="2"/>
  <c r="E16" i="2"/>
  <c r="E15" i="2"/>
  <c r="B15" i="2"/>
  <c r="E14" i="2"/>
  <c r="H13" i="2"/>
  <c r="E13" i="2"/>
  <c r="H12" i="2"/>
  <c r="E12" i="2"/>
  <c r="H11" i="2"/>
  <c r="E11" i="2"/>
  <c r="H10" i="2"/>
  <c r="E10" i="2"/>
  <c r="B10" i="2"/>
  <c r="H9" i="2"/>
  <c r="E9" i="2"/>
  <c r="B9" i="2"/>
  <c r="H8" i="2"/>
  <c r="E8" i="2"/>
  <c r="B8" i="2"/>
  <c r="H7" i="2"/>
  <c r="E7" i="2"/>
  <c r="B7" i="2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B14" i="2"/>
  <c r="B12" i="2"/>
  <c r="L2" i="1"/>
  <c r="B11" i="2" s="1"/>
  <c r="K2" i="1"/>
  <c r="B13" i="2" s="1"/>
</calcChain>
</file>

<file path=xl/sharedStrings.xml><?xml version="1.0" encoding="utf-8"?>
<sst xmlns="http://schemas.openxmlformats.org/spreadsheetml/2006/main" count="131" uniqueCount="103">
  <si>
    <t>ID</t>
  </si>
  <si>
    <t>Názov (stručne)</t>
  </si>
  <si>
    <t>Detail / poznámka k položke</t>
  </si>
  <si>
    <t>Owner (zodpovedný)</t>
  </si>
  <si>
    <t>Link</t>
  </si>
  <si>
    <t>Typ</t>
  </si>
  <si>
    <t xml:space="preserve">Oblasť </t>
  </si>
  <si>
    <t>Priorita</t>
  </si>
  <si>
    <t>Delivery stav (interný)</t>
  </si>
  <si>
    <t>Čaká na (kto)</t>
  </si>
  <si>
    <t>Integrácia?</t>
  </si>
  <si>
    <t>Biznis?</t>
  </si>
  <si>
    <t>Aktuálny riešiteľ</t>
  </si>
  <si>
    <t>Poznámky / posledná aktivita</t>
  </si>
  <si>
    <t>Deadline</t>
  </si>
  <si>
    <t>Release / dodávka</t>
  </si>
  <si>
    <t>Prostredie (aktuálne)</t>
  </si>
  <si>
    <t>Dátum nasadenia (aktuálne)</t>
  </si>
  <si>
    <t>Plán nasadenia (dátum)</t>
  </si>
  <si>
    <t>eGOV – Defekty &amp; požiadavky: prehľad</t>
  </si>
  <si>
    <t>Dátum:</t>
  </si>
  <si>
    <t>KPI</t>
  </si>
  <si>
    <t>Rozdelenie podľa Delivery stavu</t>
  </si>
  <si>
    <t>Rozdelenie podľa Čaká na</t>
  </si>
  <si>
    <t>Metika</t>
  </si>
  <si>
    <t>Hodnota</t>
  </si>
  <si>
    <t>Delivery stav</t>
  </si>
  <si>
    <t>Počet</t>
  </si>
  <si>
    <t>Čaká na</t>
  </si>
  <si>
    <t>Celkom položiek</t>
  </si>
  <si>
    <t>New</t>
  </si>
  <si>
    <t>Biznis</t>
  </si>
  <si>
    <t>Otvorené</t>
  </si>
  <si>
    <t>Triage</t>
  </si>
  <si>
    <t>Švédsky biznis</t>
  </si>
  <si>
    <t>Po deadline (overdue)</t>
  </si>
  <si>
    <t>Analýza</t>
  </si>
  <si>
    <t>Dizajn</t>
  </si>
  <si>
    <t>Deadline do 7 dní</t>
  </si>
  <si>
    <t>Čaká na biznis</t>
  </si>
  <si>
    <t>Integrácia</t>
  </si>
  <si>
    <t>Čaká na dizajn</t>
  </si>
  <si>
    <t>Dodávateľ</t>
  </si>
  <si>
    <t>Čaká na integráciu</t>
  </si>
  <si>
    <t>Infra/DevOps</t>
  </si>
  <si>
    <t>V implementácii</t>
  </si>
  <si>
    <t>Bez blokéra</t>
  </si>
  <si>
    <t>Nesúlad stavov (CHECK)</t>
  </si>
  <si>
    <t>V testovaní</t>
  </si>
  <si>
    <t>Bez update &gt;14 dní</t>
  </si>
  <si>
    <t>IRQ pripravené</t>
  </si>
  <si>
    <t>Ready for acceptance</t>
  </si>
  <si>
    <t>V akceptácii</t>
  </si>
  <si>
    <t>Akceptované</t>
  </si>
  <si>
    <t>Plánované nasadenie</t>
  </si>
  <si>
    <t>Nasadené</t>
  </si>
  <si>
    <t>Uzavreté</t>
  </si>
  <si>
    <t>Odložené</t>
  </si>
  <si>
    <t>Zamietnuté</t>
  </si>
  <si>
    <t>Zoznamy pre dropdowny (nemeniť štruktúru, iba hodnoty)</t>
  </si>
  <si>
    <t>zdroj</t>
  </si>
  <si>
    <t>typ</t>
  </si>
  <si>
    <t>priorita</t>
  </si>
  <si>
    <t>severity</t>
  </si>
  <si>
    <t>delivery_stav</t>
  </si>
  <si>
    <t>caka_na</t>
  </si>
  <si>
    <t>prostredie</t>
  </si>
  <si>
    <t>ano_nie</t>
  </si>
  <si>
    <t>mismatch</t>
  </si>
  <si>
    <t>Bugtracker</t>
  </si>
  <si>
    <t>Defekt</t>
  </si>
  <si>
    <t>P0 - kritická</t>
  </si>
  <si>
    <t>S1</t>
  </si>
  <si>
    <t>DEV</t>
  </si>
  <si>
    <t>Email</t>
  </si>
  <si>
    <t>Požiadavka</t>
  </si>
  <si>
    <t>P1 - vysoká</t>
  </si>
  <si>
    <t>S2</t>
  </si>
  <si>
    <t>INT</t>
  </si>
  <si>
    <t>ÁNO</t>
  </si>
  <si>
    <t>CHECK</t>
  </si>
  <si>
    <t>Meeting notes</t>
  </si>
  <si>
    <t>Change request</t>
  </si>
  <si>
    <t>P2 - stredná</t>
  </si>
  <si>
    <t>S3</t>
  </si>
  <si>
    <t>UAT</t>
  </si>
  <si>
    <t>NIE</t>
  </si>
  <si>
    <t>Chat</t>
  </si>
  <si>
    <t>Technický dlh</t>
  </si>
  <si>
    <t>P3 - nízka</t>
  </si>
  <si>
    <t>S4</t>
  </si>
  <si>
    <t>PROD</t>
  </si>
  <si>
    <t>Iné</t>
  </si>
  <si>
    <t>Ako používať register</t>
  </si>
  <si>
    <t>1) Každý defekt/požiadavka je 1 riadok v hárku 'Register'.</t>
  </si>
  <si>
    <t>2) Kľúčové polia pre operatívny prehľad: Delivery stav, Čaká na (kto), Blokér, Posledná aktualizácia, Deadline.</t>
  </si>
  <si>
    <t>3) Stĺpce Integrácia?/Biznis?/Dizajn? sa dopĺňajú automaticky podľa 'Delivery stav' a 'Čaká na'.</t>
  </si>
  <si>
    <t>4) Ak je v 'Čaká na (kto)' hodnota (a nie je to 'Bez blokéra'), vyplň aj 'Blokér / na kom to stojí'.</t>
  </si>
  <si>
    <t>5) 'Stav nesedí?' sa vyhodnotí na CHECK, ak tracker stav vyzerá byť vpredu oproti internému Delivery stavu (orientačne).</t>
  </si>
  <si>
    <t xml:space="preserve">   V takom prípade doplň 'Poznámka k nesúladu' (napr.    'IRQ pripravené, treba prepnúť v trackeri na Fix it' alebo 'čakáme na acceptance, prosím o potvrdenie biznisu').</t>
  </si>
  <si>
    <t>6) Dashboard sa aktualizuje automaticky (počty podľa stavov, čaká na, deadline).</t>
  </si>
  <si>
    <t>7) Odporúčaná disciplína: pri každej zmene alebo novej informácii aktualizuj 'Posledná aktualizácia' (yyyy-mm-dd).</t>
  </si>
  <si>
    <t>8) Farby: červená = po deadline, oranžová = deadline do 7 dní, modrá = nesúlad stavov, žltá v stĺpci Blokér = čaká na niekoho, ale chýba blokér.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</si>
</sst>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álna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solid">
          <fgColor rgb="FFFFF2C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Počet podľa Delivery stavu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Dashboard!E6</c:f>
              <c:strCache>
                <c:ptCount val="1"/>
                <c:pt idx="0">
                  <c:v>Počet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Dashboard!$D$7:$D$23</c:f>
              <c:strCache>
                <c:ptCount val="17"/>
                <c:pt idx="0">
                  <c:v>New</c:v>
                </c:pt>
                <c:pt idx="1">
                  <c:v>Triage</c:v>
                </c:pt>
                <c:pt idx="2">
                  <c:v>Analýza</c:v>
                </c:pt>
                <c:pt idx="3">
                  <c:v>Čaká na biznis</c:v>
                </c:pt>
                <c:pt idx="4">
                  <c:v>Čaká na dizajn</c:v>
                </c:pt>
                <c:pt idx="5">
                  <c:v>Čaká na integráciu</c:v>
                </c:pt>
                <c:pt idx="6">
                  <c:v>V implementácii</c:v>
                </c:pt>
                <c:pt idx="7">
                  <c:v>V testovaní</c:v>
                </c:pt>
                <c:pt idx="8">
                  <c:v>IRQ pripravené</c:v>
                </c:pt>
                <c:pt idx="9">
                  <c:v>Ready for acceptance</c:v>
                </c:pt>
                <c:pt idx="10">
                  <c:v>V akceptácii</c:v>
                </c:pt>
                <c:pt idx="11">
                  <c:v>Akceptované</c:v>
                </c:pt>
                <c:pt idx="12">
                  <c:v>Plánované nasadenie</c:v>
                </c:pt>
                <c:pt idx="13">
                  <c:v>Nasadené</c:v>
                </c:pt>
                <c:pt idx="14">
                  <c:v>Uzavreté</c:v>
                </c:pt>
                <c:pt idx="15">
                  <c:v>Odložené</c:v>
                </c:pt>
                <c:pt idx="16">
                  <c:v>Zamietnuté</c:v>
                </c:pt>
              </c:strCache>
            </c:strRef>
          </c:cat>
          <c:val>
            <c:numRef>
              <c:f>Dashboard!$E$7:$E$23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0-4C9C-9E57-21ED00FAF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Stav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Počet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Počet podľa Čaká 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Dashboard!H6</c:f>
              <c:strCache>
                <c:ptCount val="1"/>
                <c:pt idx="0">
                  <c:v>Počet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Dashboard!$G$7:$G$13</c:f>
              <c:strCache>
                <c:ptCount val="7"/>
                <c:pt idx="0">
                  <c:v>Biznis</c:v>
                </c:pt>
                <c:pt idx="1">
                  <c:v>Švédsky biznis</c:v>
                </c:pt>
                <c:pt idx="2">
                  <c:v>Dizajn</c:v>
                </c:pt>
                <c:pt idx="3">
                  <c:v>Integrácia</c:v>
                </c:pt>
                <c:pt idx="4">
                  <c:v>Dodávateľ</c:v>
                </c:pt>
                <c:pt idx="5">
                  <c:v>Infra/DevOps</c:v>
                </c:pt>
                <c:pt idx="6">
                  <c:v>Bez blokéra</c:v>
                </c:pt>
              </c:strCache>
            </c:strRef>
          </c:cat>
          <c:val>
            <c:numRef>
              <c:f>Dashboard!$H$7:$H$13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6-45BC-BDDE-0435BE6EA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Čaká 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Počet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27</xdr:row>
      <xdr:rowOff>123825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95250</xdr:colOff>
      <xdr:row>8</xdr:row>
      <xdr:rowOff>123825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erTable" displayName="RegisterTable" ref="A1:S2000">
  <autoFilter ref="A1:S2000" xr:uid="{00000000-0009-0000-0100-000001000000}"/>
  <tableColumns count="19">
    <tableColumn id="1" xr3:uid="{00000000-0010-0000-0000-000001000000}" name="ID"/>
    <tableColumn id="6" xr3:uid="{00000000-0010-0000-0000-000006000000}" name="Názov (stručne)" dataDxfId="1"/>
    <tableColumn id="7" xr3:uid="{00000000-0010-0000-0000-000007000000}" name="Detail / poznámka k položke" dataDxfId="0"/>
    <tableColumn id="16" xr3:uid="{00000000-0010-0000-0000-000010000000}" name="Owner (zodpovedný)"/>
    <tableColumn id="3" xr3:uid="{00000000-0010-0000-0000-000003000000}" name="Link"/>
    <tableColumn id="4" xr3:uid="{00000000-0010-0000-0000-000004000000}" name="Typ"/>
    <tableColumn id="5" xr3:uid="{00000000-0010-0000-0000-000005000000}" name="Oblasť "/>
    <tableColumn id="8" xr3:uid="{00000000-0010-0000-0000-000008000000}" name="Priorita"/>
    <tableColumn id="10" xr3:uid="{00000000-0010-0000-0000-00000A000000}" name="Delivery stav (interný)"/>
    <tableColumn id="12" xr3:uid="{00000000-0010-0000-0000-00000C000000}" name="Čaká na (kto)"/>
    <tableColumn id="13" xr3:uid="{00000000-0010-0000-0000-00000D000000}" name="Integrácia?"/>
    <tableColumn id="14" xr3:uid="{00000000-0010-0000-0000-00000E000000}" name="Biznis?"/>
    <tableColumn id="17" xr3:uid="{00000000-0010-0000-0000-000011000000}" name="Aktuálny riešiteľ"/>
    <tableColumn id="20" xr3:uid="{00000000-0010-0000-0000-000014000000}" name="Poznámky / posledná aktivita"/>
    <tableColumn id="24" xr3:uid="{00000000-0010-0000-0000-000018000000}" name="Deadline"/>
    <tableColumn id="25" xr3:uid="{00000000-0010-0000-0000-000019000000}" name="Release / dodávka"/>
    <tableColumn id="26" xr3:uid="{00000000-0010-0000-0000-00001A000000}" name="Prostredie (aktuálne)"/>
    <tableColumn id="27" xr3:uid="{00000000-0010-0000-0000-00001B000000}" name="Dátum nasadenia (aktuálne)"/>
    <tableColumn id="28" xr3:uid="{00000000-0010-0000-0000-00001C000000}" name="Plán nasadenia (dátum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0"/>
  <sheetViews>
    <sheetView showGridLines="0" tabSelected="1" workbookViewId="0">
      <pane ySplit="1" topLeftCell="A2" activePane="bottomLeft" state="frozen"/>
      <selection pane="bottomLeft" activeCell="N3" sqref="N3"/>
    </sheetView>
  </sheetViews>
  <sheetFormatPr defaultRowHeight="15"/>
  <cols>
    <col min="1" max="1" width="14" customWidth="1"/>
    <col min="2" max="2" width="30" style="2" customWidth="1"/>
    <col min="3" max="3" width="38" style="2" customWidth="1"/>
    <col min="4" max="4" width="14" customWidth="1"/>
    <col min="5" max="5" width="24.140625" customWidth="1"/>
    <col min="6" max="6" width="34" customWidth="1"/>
    <col min="7" max="7" width="26.5703125" customWidth="1"/>
    <col min="8" max="8" width="18" customWidth="1"/>
    <col min="9" max="9" width="14" customWidth="1"/>
    <col min="10" max="10" width="32.140625" customWidth="1"/>
    <col min="11" max="12" width="22" customWidth="1"/>
    <col min="13" max="13" width="21.140625" customWidth="1"/>
    <col min="14" max="14" width="18.85546875" customWidth="1"/>
    <col min="15" max="15" width="22.5703125" customWidth="1"/>
    <col min="16" max="16" width="18" customWidth="1"/>
    <col min="17" max="18" width="22" style="2" customWidth="1"/>
    <col min="19" max="19" width="30" style="2" customWidth="1"/>
    <col min="20" max="20" width="37.85546875" style="3" customWidth="1"/>
    <col min="21" max="21" width="50.140625" style="3" customWidth="1"/>
    <col min="22" max="22" width="35.85546875" style="3" customWidth="1"/>
    <col min="23" max="23" width="40" style="3" customWidth="1"/>
    <col min="24" max="24" width="32.7109375" customWidth="1"/>
    <col min="25" max="25" width="16" customWidth="1"/>
    <col min="26" max="27" width="18" style="3" customWidth="1"/>
    <col min="28" max="28" width="16" customWidth="1"/>
    <col min="29" max="29" width="12" customWidth="1"/>
    <col min="30" max="30" width="26" style="2" customWidth="1"/>
  </cols>
  <sheetData>
    <row r="1" spans="1:3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/>
      <c r="U1"/>
      <c r="V1"/>
      <c r="W1"/>
      <c r="Z1"/>
      <c r="AA1"/>
      <c r="AD1"/>
    </row>
    <row r="2" spans="1:30" ht="18" customHeight="1">
      <c r="K2" t="str">
        <f>IF(OR($I2="Čaká na integráciu",$J2="Integrácia"),"ÁNO","")</f>
        <v/>
      </c>
      <c r="L2" t="str">
        <f>IF(OR($I2="Čaká na biznis",$J2="Biznis",$J2="Švédsky biznis"),"ÁNO","")</f>
        <v/>
      </c>
      <c r="N2" s="2"/>
      <c r="O2" s="3"/>
      <c r="Q2"/>
      <c r="R2" s="3"/>
      <c r="S2" s="3"/>
      <c r="T2"/>
      <c r="U2"/>
      <c r="V2"/>
      <c r="W2"/>
      <c r="Z2"/>
      <c r="AA2"/>
      <c r="AD2"/>
    </row>
    <row r="3" spans="1:30" ht="18" customHeight="1">
      <c r="K3" t="str">
        <f>IF(OR($I3="Čaká na integráciu",$J3="Integrácia"),"ÁNO","")</f>
        <v/>
      </c>
      <c r="L3" t="str">
        <f>IF(OR($I3="Čaká na biznis",$J3="Biznis",$J3="Švédsky biznis"),"ÁNO","")</f>
        <v/>
      </c>
      <c r="N3" s="2"/>
      <c r="O3" s="3"/>
      <c r="Q3"/>
      <c r="R3" s="3"/>
      <c r="S3" s="3"/>
      <c r="T3"/>
      <c r="U3"/>
      <c r="V3"/>
      <c r="W3"/>
      <c r="Z3"/>
      <c r="AA3"/>
      <c r="AD3"/>
    </row>
    <row r="4" spans="1:30" ht="18" customHeight="1">
      <c r="K4" t="str">
        <f>IF(OR($I4="Čaká na integráciu",$J4="Integrácia"),"ÁNO","")</f>
        <v/>
      </c>
      <c r="L4" t="str">
        <f>IF(OR($I4="Čaká na biznis",$J4="Biznis",$J4="Švédsky biznis"),"ÁNO","")</f>
        <v/>
      </c>
      <c r="N4" s="2"/>
      <c r="O4" s="3"/>
      <c r="Q4"/>
      <c r="R4" s="3"/>
      <c r="S4" s="3"/>
      <c r="T4"/>
      <c r="U4"/>
      <c r="V4"/>
      <c r="W4"/>
      <c r="Z4"/>
      <c r="AA4"/>
      <c r="AD4"/>
    </row>
    <row r="5" spans="1:30" ht="18" customHeight="1">
      <c r="K5" t="str">
        <f>IF(OR($I5="Čaká na integráciu",$J5="Integrácia"),"ÁNO","")</f>
        <v/>
      </c>
      <c r="L5" t="str">
        <f>IF(OR($I5="Čaká na biznis",$J5="Biznis",$J5="Švédsky biznis"),"ÁNO","")</f>
        <v/>
      </c>
      <c r="N5" s="2"/>
      <c r="O5" s="3"/>
      <c r="Q5"/>
      <c r="R5" s="3"/>
      <c r="S5" s="3"/>
      <c r="T5"/>
      <c r="U5"/>
      <c r="V5"/>
      <c r="W5"/>
      <c r="Z5"/>
      <c r="AA5"/>
      <c r="AD5"/>
    </row>
    <row r="6" spans="1:30" ht="18" customHeight="1">
      <c r="K6" t="str">
        <f>IF(OR($I6="Čaká na integráciu",$J6="Integrácia"),"ÁNO","")</f>
        <v/>
      </c>
      <c r="L6" t="str">
        <f>IF(OR($I6="Čaká na biznis",$J6="Biznis",$J6="Švédsky biznis"),"ÁNO","")</f>
        <v/>
      </c>
      <c r="N6" s="2"/>
      <c r="O6" s="3"/>
      <c r="Q6"/>
      <c r="R6" s="3"/>
      <c r="S6" s="3"/>
      <c r="T6"/>
      <c r="U6"/>
      <c r="V6"/>
      <c r="W6"/>
      <c r="Z6"/>
      <c r="AA6"/>
      <c r="AD6"/>
    </row>
    <row r="7" spans="1:30" ht="18" customHeight="1">
      <c r="K7" t="str">
        <f>IF(OR($I7="Čaká na integráciu",$J7="Integrácia"),"ÁNO","")</f>
        <v/>
      </c>
      <c r="L7" t="str">
        <f>IF(OR($I7="Čaká na biznis",$J7="Biznis",$J7="Švédsky biznis"),"ÁNO","")</f>
        <v/>
      </c>
      <c r="N7" s="2"/>
      <c r="O7" s="3"/>
      <c r="Q7"/>
      <c r="R7" s="3"/>
      <c r="S7" s="3"/>
      <c r="T7"/>
      <c r="U7"/>
      <c r="V7"/>
      <c r="W7"/>
      <c r="Z7"/>
      <c r="AA7"/>
      <c r="AD7"/>
    </row>
    <row r="8" spans="1:30" ht="18" customHeight="1">
      <c r="K8" t="str">
        <f>IF(OR($I8="Čaká na integráciu",$J8="Integrácia"),"ÁNO","")</f>
        <v/>
      </c>
      <c r="L8" t="str">
        <f>IF(OR($I8="Čaká na biznis",$J8="Biznis",$J8="Švédsky biznis"),"ÁNO","")</f>
        <v/>
      </c>
      <c r="N8" s="2"/>
      <c r="O8" s="3"/>
      <c r="Q8"/>
      <c r="R8" s="3"/>
      <c r="S8" s="3"/>
      <c r="T8"/>
      <c r="U8"/>
      <c r="V8"/>
      <c r="W8"/>
      <c r="Z8"/>
      <c r="AA8"/>
      <c r="AD8"/>
    </row>
    <row r="9" spans="1:30" ht="18" customHeight="1">
      <c r="K9" t="str">
        <f>IF(OR($I9="Čaká na integráciu",$J9="Integrácia"),"ÁNO","")</f>
        <v/>
      </c>
      <c r="L9" t="str">
        <f>IF(OR($I9="Čaká na biznis",$J9="Biznis",$J9="Švédsky biznis"),"ÁNO","")</f>
        <v/>
      </c>
      <c r="N9" s="2"/>
      <c r="O9" s="3"/>
      <c r="Q9"/>
      <c r="R9" s="3"/>
      <c r="S9" s="3"/>
      <c r="T9"/>
      <c r="U9"/>
      <c r="V9"/>
      <c r="W9"/>
      <c r="Z9"/>
      <c r="AA9"/>
      <c r="AD9"/>
    </row>
    <row r="10" spans="1:30" ht="18" customHeight="1">
      <c r="K10" t="str">
        <f>IF(OR($I10="Čaká na integráciu",$J10="Integrácia"),"ÁNO","")</f>
        <v/>
      </c>
      <c r="L10" t="str">
        <f>IF(OR($I10="Čaká na biznis",$J10="Biznis",$J10="Švédsky biznis"),"ÁNO","")</f>
        <v/>
      </c>
      <c r="N10" s="2"/>
      <c r="O10" s="3"/>
      <c r="Q10"/>
      <c r="R10" s="3"/>
      <c r="S10" s="3"/>
      <c r="T10"/>
      <c r="U10"/>
      <c r="V10"/>
      <c r="W10"/>
      <c r="Z10"/>
      <c r="AA10"/>
      <c r="AD10"/>
    </row>
    <row r="11" spans="1:30" ht="18" customHeight="1">
      <c r="K11" t="str">
        <f>IF(OR($I11="Čaká na integráciu",$J11="Integrácia"),"ÁNO","")</f>
        <v/>
      </c>
      <c r="L11" t="str">
        <f>IF(OR($I11="Čaká na biznis",$J11="Biznis",$J11="Švédsky biznis"),"ÁNO","")</f>
        <v/>
      </c>
      <c r="N11" s="2"/>
      <c r="O11" s="3"/>
      <c r="Q11"/>
      <c r="R11" s="3"/>
      <c r="S11" s="3"/>
      <c r="T11"/>
      <c r="U11"/>
      <c r="V11"/>
      <c r="W11"/>
      <c r="Z11"/>
      <c r="AA11"/>
      <c r="AD11"/>
    </row>
    <row r="12" spans="1:30" ht="18" customHeight="1">
      <c r="K12" t="str">
        <f>IF(OR($I12="Čaká na integráciu",$J12="Integrácia"),"ÁNO","")</f>
        <v/>
      </c>
      <c r="L12" t="str">
        <f>IF(OR($I12="Čaká na biznis",$J12="Biznis",$J12="Švédsky biznis"),"ÁNO","")</f>
        <v/>
      </c>
      <c r="N12" s="2"/>
      <c r="O12" s="3"/>
      <c r="Q12"/>
      <c r="R12" s="3"/>
      <c r="S12" s="3"/>
      <c r="T12"/>
      <c r="U12"/>
      <c r="V12"/>
      <c r="W12"/>
      <c r="Z12"/>
      <c r="AA12"/>
      <c r="AD12"/>
    </row>
    <row r="13" spans="1:30" ht="18" customHeight="1">
      <c r="K13" t="str">
        <f>IF(OR($I13="Čaká na integráciu",$J13="Integrácia"),"ÁNO","")</f>
        <v/>
      </c>
      <c r="L13" t="str">
        <f>IF(OR($I13="Čaká na biznis",$J13="Biznis",$J13="Švédsky biznis"),"ÁNO","")</f>
        <v/>
      </c>
      <c r="N13" s="2"/>
      <c r="O13" s="3"/>
      <c r="Q13"/>
      <c r="R13" s="3"/>
      <c r="S13" s="3"/>
      <c r="T13"/>
      <c r="U13"/>
      <c r="V13"/>
      <c r="W13"/>
      <c r="Z13"/>
      <c r="AA13"/>
      <c r="AD13"/>
    </row>
    <row r="14" spans="1:30" ht="18" customHeight="1">
      <c r="K14" t="str">
        <f>IF(OR($I14="Čaká na integráciu",$J14="Integrácia"),"ÁNO","")</f>
        <v/>
      </c>
      <c r="L14" t="str">
        <f>IF(OR($I14="Čaká na biznis",$J14="Biznis",$J14="Švédsky biznis"),"ÁNO","")</f>
        <v/>
      </c>
      <c r="N14" s="2"/>
      <c r="O14" s="3"/>
      <c r="Q14"/>
      <c r="R14" s="3"/>
      <c r="S14" s="3"/>
      <c r="T14"/>
      <c r="U14"/>
      <c r="V14"/>
      <c r="W14"/>
      <c r="Z14"/>
      <c r="AA14"/>
      <c r="AD14"/>
    </row>
    <row r="15" spans="1:30" ht="18" customHeight="1">
      <c r="K15" t="str">
        <f>IF(OR($I15="Čaká na integráciu",$J15="Integrácia"),"ÁNO","")</f>
        <v/>
      </c>
      <c r="L15" t="str">
        <f>IF(OR($I15="Čaká na biznis",$J15="Biznis",$J15="Švédsky biznis"),"ÁNO","")</f>
        <v/>
      </c>
      <c r="N15" s="2"/>
      <c r="O15" s="3"/>
      <c r="Q15"/>
      <c r="R15" s="3"/>
      <c r="S15" s="3"/>
      <c r="T15"/>
      <c r="U15"/>
      <c r="V15"/>
      <c r="W15"/>
      <c r="Z15"/>
      <c r="AA15"/>
      <c r="AD15"/>
    </row>
    <row r="16" spans="1:30" ht="18" customHeight="1">
      <c r="K16" t="str">
        <f>IF(OR($I16="Čaká na integráciu",$J16="Integrácia"),"ÁNO","")</f>
        <v/>
      </c>
      <c r="L16" t="str">
        <f>IF(OR($I16="Čaká na biznis",$J16="Biznis",$J16="Švédsky biznis"),"ÁNO","")</f>
        <v/>
      </c>
      <c r="N16" s="2"/>
      <c r="O16" s="3"/>
      <c r="Q16"/>
      <c r="R16" s="3"/>
      <c r="S16" s="3"/>
      <c r="T16"/>
      <c r="U16"/>
      <c r="V16"/>
      <c r="W16"/>
      <c r="Z16"/>
      <c r="AA16"/>
      <c r="AD16"/>
    </row>
    <row r="17" spans="11:30" ht="18" customHeight="1">
      <c r="K17" t="str">
        <f>IF(OR($I17="Čaká na integráciu",$J17="Integrácia"),"ÁNO","")</f>
        <v/>
      </c>
      <c r="L17" t="str">
        <f>IF(OR($I17="Čaká na biznis",$J17="Biznis",$J17="Švédsky biznis"),"ÁNO","")</f>
        <v/>
      </c>
      <c r="N17" s="2"/>
      <c r="O17" s="3"/>
      <c r="Q17"/>
      <c r="R17" s="3"/>
      <c r="S17" s="3"/>
      <c r="T17"/>
      <c r="U17"/>
      <c r="V17"/>
      <c r="W17"/>
      <c r="Z17"/>
      <c r="AA17"/>
      <c r="AD17"/>
    </row>
    <row r="18" spans="11:30" ht="18" customHeight="1">
      <c r="K18" t="str">
        <f>IF(OR($I18="Čaká na integráciu",$J18="Integrácia"),"ÁNO","")</f>
        <v/>
      </c>
      <c r="L18" t="str">
        <f>IF(OR($I18="Čaká na biznis",$J18="Biznis",$J18="Švédsky biznis"),"ÁNO","")</f>
        <v/>
      </c>
      <c r="N18" s="2"/>
      <c r="O18" s="3"/>
      <c r="Q18"/>
      <c r="R18" s="3"/>
      <c r="S18" s="3"/>
      <c r="T18"/>
      <c r="U18"/>
      <c r="V18"/>
      <c r="W18"/>
      <c r="Z18"/>
      <c r="AA18"/>
      <c r="AD18"/>
    </row>
    <row r="19" spans="11:30" ht="18" customHeight="1">
      <c r="K19" t="str">
        <f>IF(OR($I19="Čaká na integráciu",$J19="Integrácia"),"ÁNO","")</f>
        <v/>
      </c>
      <c r="L19" t="str">
        <f>IF(OR($I19="Čaká na biznis",$J19="Biznis",$J19="Švédsky biznis"),"ÁNO","")</f>
        <v/>
      </c>
      <c r="N19" s="2"/>
      <c r="O19" s="3"/>
      <c r="Q19"/>
      <c r="R19" s="3"/>
      <c r="S19" s="3"/>
      <c r="T19"/>
      <c r="U19"/>
      <c r="V19"/>
      <c r="W19"/>
      <c r="Z19"/>
      <c r="AA19"/>
      <c r="AD19"/>
    </row>
    <row r="20" spans="11:30" ht="18" customHeight="1">
      <c r="K20" t="str">
        <f>IF(OR($I20="Čaká na integráciu",$J20="Integrácia"),"ÁNO","")</f>
        <v/>
      </c>
      <c r="L20" t="str">
        <f>IF(OR($I20="Čaká na biznis",$J20="Biznis",$J20="Švédsky biznis"),"ÁNO","")</f>
        <v/>
      </c>
      <c r="N20" s="2"/>
      <c r="O20" s="3"/>
      <c r="Q20"/>
      <c r="R20" s="3"/>
      <c r="S20" s="3"/>
      <c r="T20"/>
      <c r="U20"/>
      <c r="V20"/>
      <c r="W20"/>
      <c r="Z20"/>
      <c r="AA20"/>
      <c r="AD20"/>
    </row>
    <row r="21" spans="11:30" ht="18" customHeight="1">
      <c r="K21" t="str">
        <f>IF(OR($I21="Čaká na integráciu",$J21="Integrácia"),"ÁNO","")</f>
        <v/>
      </c>
      <c r="L21" t="str">
        <f>IF(OR($I21="Čaká na biznis",$J21="Biznis",$J21="Švédsky biznis"),"ÁNO","")</f>
        <v/>
      </c>
      <c r="N21" s="2"/>
      <c r="O21" s="3"/>
      <c r="Q21"/>
      <c r="R21" s="3"/>
      <c r="S21" s="3"/>
      <c r="T21"/>
      <c r="U21"/>
      <c r="V21"/>
      <c r="W21"/>
      <c r="Z21"/>
      <c r="AA21"/>
      <c r="AD21"/>
    </row>
    <row r="22" spans="11:30" ht="18" customHeight="1">
      <c r="K22" t="str">
        <f>IF(OR($I22="Čaká na integráciu",$J22="Integrácia"),"ÁNO","")</f>
        <v/>
      </c>
      <c r="L22" t="str">
        <f>IF(OR($I22="Čaká na biznis",$J22="Biznis",$J22="Švédsky biznis"),"ÁNO","")</f>
        <v/>
      </c>
      <c r="N22" s="2"/>
      <c r="O22" s="3"/>
      <c r="Q22"/>
      <c r="R22" s="3"/>
      <c r="S22" s="3"/>
      <c r="T22"/>
      <c r="U22"/>
      <c r="V22"/>
      <c r="W22"/>
      <c r="Z22"/>
      <c r="AA22"/>
      <c r="AD22"/>
    </row>
    <row r="23" spans="11:30" ht="18" customHeight="1">
      <c r="K23" t="str">
        <f>IF(OR($I23="Čaká na integráciu",$J23="Integrácia"),"ÁNO","")</f>
        <v/>
      </c>
      <c r="L23" t="str">
        <f>IF(OR($I23="Čaká na biznis",$J23="Biznis",$J23="Švédsky biznis"),"ÁNO","")</f>
        <v/>
      </c>
      <c r="N23" s="2"/>
      <c r="O23" s="3"/>
      <c r="Q23"/>
      <c r="R23" s="3"/>
      <c r="S23" s="3"/>
      <c r="T23"/>
      <c r="U23"/>
      <c r="V23"/>
      <c r="W23"/>
      <c r="Z23"/>
      <c r="AA23"/>
      <c r="AD23"/>
    </row>
    <row r="24" spans="11:30" ht="18" customHeight="1">
      <c r="K24" t="str">
        <f>IF(OR($I24="Čaká na integráciu",$J24="Integrácia"),"ÁNO","")</f>
        <v/>
      </c>
      <c r="L24" t="str">
        <f>IF(OR($I24="Čaká na biznis",$J24="Biznis",$J24="Švédsky biznis"),"ÁNO","")</f>
        <v/>
      </c>
      <c r="N24" s="2"/>
      <c r="O24" s="3"/>
      <c r="Q24"/>
      <c r="R24" s="3"/>
      <c r="S24" s="3"/>
      <c r="T24"/>
      <c r="U24"/>
      <c r="V24"/>
      <c r="W24"/>
      <c r="Z24"/>
      <c r="AA24"/>
      <c r="AD24"/>
    </row>
    <row r="25" spans="11:30" ht="18" customHeight="1">
      <c r="K25" t="str">
        <f>IF(OR($I25="Čaká na integráciu",$J25="Integrácia"),"ÁNO","")</f>
        <v/>
      </c>
      <c r="L25" t="str">
        <f>IF(OR($I25="Čaká na biznis",$J25="Biznis",$J25="Švédsky biznis"),"ÁNO","")</f>
        <v/>
      </c>
      <c r="N25" s="2"/>
      <c r="O25" s="3"/>
      <c r="Q25"/>
      <c r="R25" s="3"/>
      <c r="S25" s="3"/>
      <c r="T25"/>
      <c r="U25"/>
      <c r="V25"/>
      <c r="W25"/>
      <c r="Z25"/>
      <c r="AA25"/>
      <c r="AD25"/>
    </row>
    <row r="26" spans="11:30" ht="18" customHeight="1">
      <c r="K26" t="str">
        <f>IF(OR($I26="Čaká na integráciu",$J26="Integrácia"),"ÁNO","")</f>
        <v/>
      </c>
      <c r="L26" t="str">
        <f>IF(OR($I26="Čaká na biznis",$J26="Biznis",$J26="Švédsky biznis"),"ÁNO","")</f>
        <v/>
      </c>
      <c r="N26" s="2"/>
      <c r="O26" s="3"/>
      <c r="Q26"/>
      <c r="R26" s="3"/>
      <c r="S26" s="3"/>
      <c r="T26"/>
      <c r="U26"/>
      <c r="V26"/>
      <c r="W26"/>
      <c r="Z26"/>
      <c r="AA26"/>
      <c r="AD26"/>
    </row>
    <row r="27" spans="11:30" ht="18" customHeight="1">
      <c r="K27" t="str">
        <f>IF(OR($I27="Čaká na integráciu",$J27="Integrácia"),"ÁNO","")</f>
        <v/>
      </c>
      <c r="L27" t="str">
        <f>IF(OR($I27="Čaká na biznis",$J27="Biznis",$J27="Švédsky biznis"),"ÁNO","")</f>
        <v/>
      </c>
      <c r="N27" s="2"/>
      <c r="O27" s="3"/>
      <c r="Q27"/>
      <c r="R27" s="3"/>
      <c r="S27" s="3"/>
      <c r="T27"/>
      <c r="U27"/>
      <c r="V27"/>
      <c r="W27"/>
      <c r="Z27"/>
      <c r="AA27"/>
      <c r="AD27"/>
    </row>
    <row r="28" spans="11:30" ht="18" customHeight="1">
      <c r="K28" t="str">
        <f>IF(OR($I28="Čaká na integráciu",$J28="Integrácia"),"ÁNO","")</f>
        <v/>
      </c>
      <c r="L28" t="str">
        <f>IF(OR($I28="Čaká na biznis",$J28="Biznis",$J28="Švédsky biznis"),"ÁNO","")</f>
        <v/>
      </c>
      <c r="N28" s="2"/>
      <c r="O28" s="3"/>
      <c r="Q28"/>
      <c r="R28" s="3"/>
      <c r="S28" s="3"/>
      <c r="T28"/>
      <c r="U28"/>
      <c r="V28"/>
      <c r="W28"/>
      <c r="Z28"/>
      <c r="AA28"/>
      <c r="AD28"/>
    </row>
    <row r="29" spans="11:30" ht="18" customHeight="1">
      <c r="K29" t="str">
        <f>IF(OR($I29="Čaká na integráciu",$J29="Integrácia"),"ÁNO","")</f>
        <v/>
      </c>
      <c r="L29" t="str">
        <f>IF(OR($I29="Čaká na biznis",$J29="Biznis",$J29="Švédsky biznis"),"ÁNO","")</f>
        <v/>
      </c>
      <c r="N29" s="2"/>
      <c r="O29" s="3"/>
      <c r="Q29"/>
      <c r="R29" s="3"/>
      <c r="S29" s="3"/>
      <c r="T29"/>
      <c r="U29"/>
      <c r="V29"/>
      <c r="W29"/>
      <c r="Z29"/>
      <c r="AA29"/>
      <c r="AD29"/>
    </row>
    <row r="30" spans="11:30" ht="18" customHeight="1">
      <c r="K30" t="str">
        <f>IF(OR($I30="Čaká na integráciu",$J30="Integrácia"),"ÁNO","")</f>
        <v/>
      </c>
      <c r="L30" t="str">
        <f>IF(OR($I30="Čaká na biznis",$J30="Biznis",$J30="Švédsky biznis"),"ÁNO","")</f>
        <v/>
      </c>
      <c r="N30" s="2"/>
      <c r="O30" s="3"/>
      <c r="Q30"/>
      <c r="R30" s="3"/>
      <c r="S30" s="3"/>
      <c r="T30"/>
      <c r="U30"/>
      <c r="V30"/>
      <c r="W30"/>
      <c r="Z30"/>
      <c r="AA30"/>
      <c r="AD30"/>
    </row>
    <row r="31" spans="11:30" ht="18" customHeight="1">
      <c r="K31" t="str">
        <f>IF(OR($I31="Čaká na integráciu",$J31="Integrácia"),"ÁNO","")</f>
        <v/>
      </c>
      <c r="L31" t="str">
        <f>IF(OR($I31="Čaká na biznis",$J31="Biznis",$J31="Švédsky biznis"),"ÁNO","")</f>
        <v/>
      </c>
      <c r="N31" s="2"/>
      <c r="O31" s="3"/>
      <c r="Q31"/>
      <c r="R31" s="3"/>
      <c r="S31" s="3"/>
      <c r="T31"/>
      <c r="U31"/>
      <c r="V31"/>
      <c r="W31"/>
      <c r="Z31"/>
      <c r="AA31"/>
      <c r="AD31"/>
    </row>
    <row r="32" spans="11:30" ht="18" customHeight="1">
      <c r="K32" t="str">
        <f>IF(OR($I32="Čaká na integráciu",$J32="Integrácia"),"ÁNO","")</f>
        <v/>
      </c>
      <c r="L32" t="str">
        <f>IF(OR($I32="Čaká na biznis",$J32="Biznis",$J32="Švédsky biznis"),"ÁNO","")</f>
        <v/>
      </c>
      <c r="N32" s="2"/>
      <c r="O32" s="3"/>
      <c r="Q32"/>
      <c r="R32" s="3"/>
      <c r="S32" s="3"/>
      <c r="T32"/>
      <c r="U32"/>
      <c r="V32"/>
      <c r="W32"/>
      <c r="Z32"/>
      <c r="AA32"/>
      <c r="AD32"/>
    </row>
    <row r="33" spans="11:30" ht="18" customHeight="1">
      <c r="K33" t="str">
        <f>IF(OR($I33="Čaká na integráciu",$J33="Integrácia"),"ÁNO","")</f>
        <v/>
      </c>
      <c r="L33" t="str">
        <f>IF(OR($I33="Čaká na biznis",$J33="Biznis",$J33="Švédsky biznis"),"ÁNO","")</f>
        <v/>
      </c>
      <c r="N33" s="2"/>
      <c r="O33" s="3"/>
      <c r="Q33"/>
      <c r="R33" s="3"/>
      <c r="S33" s="3"/>
      <c r="T33"/>
      <c r="U33"/>
      <c r="V33"/>
      <c r="W33"/>
      <c r="Z33"/>
      <c r="AA33"/>
      <c r="AD33"/>
    </row>
    <row r="34" spans="11:30" ht="18" customHeight="1">
      <c r="K34" t="str">
        <f>IF(OR($I34="Čaká na integráciu",$J34="Integrácia"),"ÁNO","")</f>
        <v/>
      </c>
      <c r="L34" t="str">
        <f>IF(OR($I34="Čaká na biznis",$J34="Biznis",$J34="Švédsky biznis"),"ÁNO","")</f>
        <v/>
      </c>
      <c r="N34" s="2"/>
      <c r="O34" s="3"/>
      <c r="Q34"/>
      <c r="R34" s="3"/>
      <c r="S34" s="3"/>
      <c r="T34"/>
      <c r="U34"/>
      <c r="V34"/>
      <c r="W34"/>
      <c r="Z34"/>
      <c r="AA34"/>
      <c r="AD34"/>
    </row>
    <row r="35" spans="11:30" ht="18" customHeight="1">
      <c r="K35" t="str">
        <f>IF(OR($I35="Čaká na integráciu",$J35="Integrácia"),"ÁNO","")</f>
        <v/>
      </c>
      <c r="L35" t="str">
        <f>IF(OR($I35="Čaká na biznis",$J35="Biznis",$J35="Švédsky biznis"),"ÁNO","")</f>
        <v/>
      </c>
      <c r="N35" s="2"/>
      <c r="O35" s="3"/>
      <c r="Q35"/>
      <c r="R35" s="3"/>
      <c r="S35" s="3"/>
      <c r="T35"/>
      <c r="U35"/>
      <c r="V35"/>
      <c r="W35"/>
      <c r="Z35"/>
      <c r="AA35"/>
      <c r="AD35"/>
    </row>
    <row r="36" spans="11:30" ht="18" customHeight="1">
      <c r="K36" t="str">
        <f>IF(OR($I36="Čaká na integráciu",$J36="Integrácia"),"ÁNO","")</f>
        <v/>
      </c>
      <c r="L36" t="str">
        <f>IF(OR($I36="Čaká na biznis",$J36="Biznis",$J36="Švédsky biznis"),"ÁNO","")</f>
        <v/>
      </c>
      <c r="N36" s="2"/>
      <c r="O36" s="3"/>
      <c r="Q36"/>
      <c r="R36" s="3"/>
      <c r="S36" s="3"/>
      <c r="T36"/>
      <c r="U36"/>
      <c r="V36"/>
      <c r="W36"/>
      <c r="Z36"/>
      <c r="AA36"/>
      <c r="AD36"/>
    </row>
    <row r="37" spans="11:30" ht="18" customHeight="1">
      <c r="K37" t="str">
        <f>IF(OR($I37="Čaká na integráciu",$J37="Integrácia"),"ÁNO","")</f>
        <v/>
      </c>
      <c r="L37" t="str">
        <f>IF(OR($I37="Čaká na biznis",$J37="Biznis",$J37="Švédsky biznis"),"ÁNO","")</f>
        <v/>
      </c>
      <c r="N37" s="2"/>
      <c r="O37" s="3"/>
      <c r="Q37"/>
      <c r="R37" s="3"/>
      <c r="S37" s="3"/>
      <c r="T37"/>
      <c r="U37"/>
      <c r="V37"/>
      <c r="W37"/>
      <c r="Z37"/>
      <c r="AA37"/>
      <c r="AD37"/>
    </row>
    <row r="38" spans="11:30" ht="18" customHeight="1">
      <c r="K38" t="str">
        <f>IF(OR($I38="Čaká na integráciu",$J38="Integrácia"),"ÁNO","")</f>
        <v/>
      </c>
      <c r="L38" t="str">
        <f>IF(OR($I38="Čaká na biznis",$J38="Biznis",$J38="Švédsky biznis"),"ÁNO","")</f>
        <v/>
      </c>
      <c r="N38" s="2"/>
      <c r="O38" s="3"/>
      <c r="Q38"/>
      <c r="R38" s="3"/>
      <c r="S38" s="3"/>
      <c r="T38"/>
      <c r="U38"/>
      <c r="V38"/>
      <c r="W38"/>
      <c r="Z38"/>
      <c r="AA38"/>
      <c r="AD38"/>
    </row>
    <row r="39" spans="11:30" ht="18" customHeight="1">
      <c r="K39" t="str">
        <f>IF(OR($I39="Čaká na integráciu",$J39="Integrácia"),"ÁNO","")</f>
        <v/>
      </c>
      <c r="L39" t="str">
        <f>IF(OR($I39="Čaká na biznis",$J39="Biznis",$J39="Švédsky biznis"),"ÁNO","")</f>
        <v/>
      </c>
      <c r="N39" s="2"/>
      <c r="O39" s="3"/>
      <c r="Q39"/>
      <c r="R39" s="3"/>
      <c r="S39" s="3"/>
      <c r="T39"/>
      <c r="U39"/>
      <c r="V39"/>
      <c r="W39"/>
      <c r="Z39"/>
      <c r="AA39"/>
      <c r="AD39"/>
    </row>
    <row r="40" spans="11:30" ht="18" customHeight="1">
      <c r="K40" t="str">
        <f>IF(OR($I40="Čaká na integráciu",$J40="Integrácia"),"ÁNO","")</f>
        <v/>
      </c>
      <c r="L40" t="str">
        <f>IF(OR($I40="Čaká na biznis",$J40="Biznis",$J40="Švédsky biznis"),"ÁNO","")</f>
        <v/>
      </c>
      <c r="N40" s="2"/>
      <c r="O40" s="3"/>
      <c r="Q40"/>
      <c r="R40" s="3"/>
      <c r="S40" s="3"/>
      <c r="T40"/>
      <c r="U40"/>
      <c r="V40"/>
      <c r="W40"/>
      <c r="Z40"/>
      <c r="AA40"/>
      <c r="AD40"/>
    </row>
    <row r="41" spans="11:30" ht="18" customHeight="1">
      <c r="K41" t="str">
        <f>IF(OR($I41="Čaká na integráciu",$J41="Integrácia"),"ÁNO","")</f>
        <v/>
      </c>
      <c r="L41" t="str">
        <f>IF(OR($I41="Čaká na biznis",$J41="Biznis",$J41="Švédsky biznis"),"ÁNO","")</f>
        <v/>
      </c>
      <c r="N41" s="2"/>
      <c r="O41" s="3"/>
      <c r="Q41"/>
      <c r="R41" s="3"/>
      <c r="S41" s="3"/>
      <c r="T41"/>
      <c r="U41"/>
      <c r="V41"/>
      <c r="W41"/>
      <c r="Z41"/>
      <c r="AA41"/>
      <c r="AD41"/>
    </row>
    <row r="42" spans="11:30" ht="18" customHeight="1">
      <c r="K42" t="str">
        <f>IF(OR($I42="Čaká na integráciu",$J42="Integrácia"),"ÁNO","")</f>
        <v/>
      </c>
      <c r="L42" t="str">
        <f>IF(OR($I42="Čaká na biznis",$J42="Biznis",$J42="Švédsky biznis"),"ÁNO","")</f>
        <v/>
      </c>
      <c r="N42" s="2"/>
      <c r="O42" s="3"/>
      <c r="Q42"/>
      <c r="R42" s="3"/>
      <c r="S42" s="3"/>
      <c r="T42"/>
      <c r="U42"/>
      <c r="V42"/>
      <c r="W42"/>
      <c r="Z42"/>
      <c r="AA42"/>
      <c r="AD42"/>
    </row>
    <row r="43" spans="11:30" ht="18" customHeight="1">
      <c r="K43" t="str">
        <f>IF(OR($I43="Čaká na integráciu",$J43="Integrácia"),"ÁNO","")</f>
        <v/>
      </c>
      <c r="L43" t="str">
        <f>IF(OR($I43="Čaká na biznis",$J43="Biznis",$J43="Švédsky biznis"),"ÁNO","")</f>
        <v/>
      </c>
      <c r="N43" s="2"/>
      <c r="O43" s="3"/>
      <c r="Q43"/>
      <c r="R43" s="3"/>
      <c r="S43" s="3"/>
      <c r="T43"/>
      <c r="U43"/>
      <c r="V43"/>
      <c r="W43"/>
      <c r="Z43"/>
      <c r="AA43"/>
      <c r="AD43"/>
    </row>
    <row r="44" spans="11:30" ht="18" customHeight="1">
      <c r="K44" t="str">
        <f>IF(OR($I44="Čaká na integráciu",$J44="Integrácia"),"ÁNO","")</f>
        <v/>
      </c>
      <c r="L44" t="str">
        <f>IF(OR($I44="Čaká na biznis",$J44="Biznis",$J44="Švédsky biznis"),"ÁNO","")</f>
        <v/>
      </c>
      <c r="N44" s="2"/>
      <c r="O44" s="3"/>
      <c r="Q44"/>
      <c r="R44" s="3"/>
      <c r="S44" s="3"/>
      <c r="T44"/>
      <c r="U44"/>
      <c r="V44"/>
      <c r="W44"/>
      <c r="Z44"/>
      <c r="AA44"/>
      <c r="AD44"/>
    </row>
    <row r="45" spans="11:30" ht="18" customHeight="1">
      <c r="K45" t="str">
        <f>IF(OR($I45="Čaká na integráciu",$J45="Integrácia"),"ÁNO","")</f>
        <v/>
      </c>
      <c r="L45" t="str">
        <f>IF(OR($I45="Čaká na biznis",$J45="Biznis",$J45="Švédsky biznis"),"ÁNO","")</f>
        <v/>
      </c>
      <c r="N45" s="2"/>
      <c r="O45" s="3"/>
      <c r="Q45"/>
      <c r="R45" s="3"/>
      <c r="S45" s="3"/>
      <c r="T45"/>
      <c r="U45"/>
      <c r="V45"/>
      <c r="W45"/>
      <c r="Z45"/>
      <c r="AA45"/>
      <c r="AD45"/>
    </row>
    <row r="46" spans="11:30" ht="18" customHeight="1">
      <c r="K46" t="str">
        <f>IF(OR($I46="Čaká na integráciu",$J46="Integrácia"),"ÁNO","")</f>
        <v/>
      </c>
      <c r="L46" t="str">
        <f>IF(OR($I46="Čaká na biznis",$J46="Biznis",$J46="Švédsky biznis"),"ÁNO","")</f>
        <v/>
      </c>
      <c r="N46" s="2"/>
      <c r="O46" s="3"/>
      <c r="Q46"/>
      <c r="R46" s="3"/>
      <c r="S46" s="3"/>
      <c r="T46"/>
      <c r="U46"/>
      <c r="V46"/>
      <c r="W46"/>
      <c r="Z46"/>
      <c r="AA46"/>
      <c r="AD46"/>
    </row>
    <row r="47" spans="11:30" ht="18" customHeight="1">
      <c r="K47" t="str">
        <f>IF(OR($I47="Čaká na integráciu",$J47="Integrácia"),"ÁNO","")</f>
        <v/>
      </c>
      <c r="L47" t="str">
        <f>IF(OR($I47="Čaká na biznis",$J47="Biznis",$J47="Švédsky biznis"),"ÁNO","")</f>
        <v/>
      </c>
      <c r="N47" s="2"/>
      <c r="O47" s="3"/>
      <c r="Q47"/>
      <c r="R47" s="3"/>
      <c r="S47" s="3"/>
      <c r="T47"/>
      <c r="U47"/>
      <c r="V47"/>
      <c r="W47"/>
      <c r="Z47"/>
      <c r="AA47"/>
      <c r="AD47"/>
    </row>
    <row r="48" spans="11:30" ht="18" customHeight="1">
      <c r="K48" t="str">
        <f>IF(OR($I48="Čaká na integráciu",$J48="Integrácia"),"ÁNO","")</f>
        <v/>
      </c>
      <c r="L48" t="str">
        <f>IF(OR($I48="Čaká na biznis",$J48="Biznis",$J48="Švédsky biznis"),"ÁNO","")</f>
        <v/>
      </c>
      <c r="N48" s="2"/>
      <c r="O48" s="3"/>
      <c r="Q48"/>
      <c r="R48" s="3"/>
      <c r="S48" s="3"/>
      <c r="T48"/>
      <c r="U48"/>
      <c r="V48"/>
      <c r="W48"/>
      <c r="Z48"/>
      <c r="AA48"/>
      <c r="AD48"/>
    </row>
    <row r="49" spans="11:30" ht="18" customHeight="1">
      <c r="K49" t="str">
        <f>IF(OR($I49="Čaká na integráciu",$J49="Integrácia"),"ÁNO","")</f>
        <v/>
      </c>
      <c r="L49" t="str">
        <f>IF(OR($I49="Čaká na biznis",$J49="Biznis",$J49="Švédsky biznis"),"ÁNO","")</f>
        <v/>
      </c>
      <c r="N49" s="2"/>
      <c r="O49" s="3"/>
      <c r="Q49"/>
      <c r="R49" s="3"/>
      <c r="S49" s="3"/>
      <c r="T49"/>
      <c r="U49"/>
      <c r="V49"/>
      <c r="W49"/>
      <c r="Z49"/>
      <c r="AA49"/>
      <c r="AD49"/>
    </row>
    <row r="50" spans="11:30" ht="18" customHeight="1">
      <c r="K50" t="str">
        <f>IF(OR($I50="Čaká na integráciu",$J50="Integrácia"),"ÁNO","")</f>
        <v/>
      </c>
      <c r="L50" t="str">
        <f>IF(OR($I50="Čaká na biznis",$J50="Biznis",$J50="Švédsky biznis"),"ÁNO","")</f>
        <v/>
      </c>
      <c r="N50" s="2"/>
      <c r="O50" s="3"/>
      <c r="Q50"/>
      <c r="R50" s="3"/>
      <c r="S50" s="3"/>
      <c r="T50"/>
      <c r="U50"/>
      <c r="V50"/>
      <c r="W50"/>
      <c r="Z50"/>
      <c r="AA50"/>
      <c r="AD50"/>
    </row>
    <row r="51" spans="11:30" ht="18" customHeight="1">
      <c r="K51" t="str">
        <f>IF(OR($I51="Čaká na integráciu",$J51="Integrácia"),"ÁNO","")</f>
        <v/>
      </c>
      <c r="L51" t="str">
        <f>IF(OR($I51="Čaká na biznis",$J51="Biznis",$J51="Švédsky biznis"),"ÁNO","")</f>
        <v/>
      </c>
      <c r="N51" s="2"/>
      <c r="O51" s="3"/>
      <c r="Q51"/>
      <c r="R51" s="3"/>
      <c r="S51" s="3"/>
      <c r="T51"/>
      <c r="U51"/>
      <c r="V51"/>
      <c r="W51"/>
      <c r="Z51"/>
      <c r="AA51"/>
      <c r="AD51"/>
    </row>
    <row r="52" spans="11:30" ht="18" customHeight="1">
      <c r="K52" t="str">
        <f>IF(OR($I52="Čaká na integráciu",$J52="Integrácia"),"ÁNO","")</f>
        <v/>
      </c>
      <c r="L52" t="str">
        <f>IF(OR($I52="Čaká na biznis",$J52="Biznis",$J52="Švédsky biznis"),"ÁNO","")</f>
        <v/>
      </c>
      <c r="N52" s="2"/>
      <c r="O52" s="3"/>
      <c r="Q52"/>
      <c r="R52" s="3"/>
      <c r="S52" s="3"/>
      <c r="T52"/>
      <c r="U52"/>
      <c r="V52"/>
      <c r="W52"/>
      <c r="Z52"/>
      <c r="AA52"/>
      <c r="AD52"/>
    </row>
    <row r="53" spans="11:30" ht="18" customHeight="1">
      <c r="K53" t="str">
        <f>IF(OR($I53="Čaká na integráciu",$J53="Integrácia"),"ÁNO","")</f>
        <v/>
      </c>
      <c r="L53" t="str">
        <f>IF(OR($I53="Čaká na biznis",$J53="Biznis",$J53="Švédsky biznis"),"ÁNO","")</f>
        <v/>
      </c>
      <c r="N53" s="2"/>
      <c r="O53" s="3"/>
      <c r="Q53"/>
      <c r="R53" s="3"/>
      <c r="S53" s="3"/>
      <c r="T53"/>
      <c r="U53"/>
      <c r="V53"/>
      <c r="W53"/>
      <c r="Z53"/>
      <c r="AA53"/>
      <c r="AD53"/>
    </row>
    <row r="54" spans="11:30" ht="18" customHeight="1">
      <c r="K54" t="str">
        <f>IF(OR($I54="Čaká na integráciu",$J54="Integrácia"),"ÁNO","")</f>
        <v/>
      </c>
      <c r="L54" t="str">
        <f>IF(OR($I54="Čaká na biznis",$J54="Biznis",$J54="Švédsky biznis"),"ÁNO","")</f>
        <v/>
      </c>
      <c r="N54" s="2"/>
      <c r="O54" s="3"/>
      <c r="Q54"/>
      <c r="R54" s="3"/>
      <c r="S54" s="3"/>
      <c r="T54"/>
      <c r="U54"/>
      <c r="V54"/>
      <c r="W54"/>
      <c r="Z54"/>
      <c r="AA54"/>
      <c r="AD54"/>
    </row>
    <row r="55" spans="11:30" ht="18" customHeight="1">
      <c r="K55" t="str">
        <f>IF(OR($I55="Čaká na integráciu",$J55="Integrácia"),"ÁNO","")</f>
        <v/>
      </c>
      <c r="L55" t="str">
        <f>IF(OR($I55="Čaká na biznis",$J55="Biznis",$J55="Švédsky biznis"),"ÁNO","")</f>
        <v/>
      </c>
      <c r="N55" s="2"/>
      <c r="O55" s="3"/>
      <c r="Q55"/>
      <c r="R55" s="3"/>
      <c r="S55" s="3"/>
      <c r="T55"/>
      <c r="U55"/>
      <c r="V55"/>
      <c r="W55"/>
      <c r="Z55"/>
      <c r="AA55"/>
      <c r="AD55"/>
    </row>
    <row r="56" spans="11:30" ht="18" customHeight="1">
      <c r="K56" t="str">
        <f>IF(OR($I56="Čaká na integráciu",$J56="Integrácia"),"ÁNO","")</f>
        <v/>
      </c>
      <c r="L56" t="str">
        <f>IF(OR($I56="Čaká na biznis",$J56="Biznis",$J56="Švédsky biznis"),"ÁNO","")</f>
        <v/>
      </c>
      <c r="N56" s="2"/>
      <c r="O56" s="3"/>
      <c r="Q56"/>
      <c r="R56" s="3"/>
      <c r="S56" s="3"/>
      <c r="T56"/>
      <c r="U56"/>
      <c r="V56"/>
      <c r="W56"/>
      <c r="Z56"/>
      <c r="AA56"/>
      <c r="AD56"/>
    </row>
    <row r="57" spans="11:30" ht="18" customHeight="1">
      <c r="K57" t="str">
        <f>IF(OR($I57="Čaká na integráciu",$J57="Integrácia"),"ÁNO","")</f>
        <v/>
      </c>
      <c r="L57" t="str">
        <f>IF(OR($I57="Čaká na biznis",$J57="Biznis",$J57="Švédsky biznis"),"ÁNO","")</f>
        <v/>
      </c>
      <c r="N57" s="2"/>
      <c r="O57" s="3"/>
      <c r="Q57"/>
      <c r="R57" s="3"/>
      <c r="S57" s="3"/>
      <c r="T57"/>
      <c r="U57"/>
      <c r="V57"/>
      <c r="W57"/>
      <c r="Z57"/>
      <c r="AA57"/>
      <c r="AD57"/>
    </row>
    <row r="58" spans="11:30" ht="18" customHeight="1">
      <c r="K58" t="str">
        <f>IF(OR($I58="Čaká na integráciu",$J58="Integrácia"),"ÁNO","")</f>
        <v/>
      </c>
      <c r="L58" t="str">
        <f>IF(OR($I58="Čaká na biznis",$J58="Biznis",$J58="Švédsky biznis"),"ÁNO","")</f>
        <v/>
      </c>
      <c r="N58" s="2"/>
      <c r="O58" s="3"/>
      <c r="Q58"/>
      <c r="R58" s="3"/>
      <c r="S58" s="3"/>
      <c r="T58"/>
      <c r="U58"/>
      <c r="V58"/>
      <c r="W58"/>
      <c r="Z58"/>
      <c r="AA58"/>
      <c r="AD58"/>
    </row>
    <row r="59" spans="11:30" ht="18" customHeight="1">
      <c r="K59" t="str">
        <f>IF(OR($I59="Čaká na integráciu",$J59="Integrácia"),"ÁNO","")</f>
        <v/>
      </c>
      <c r="L59" t="str">
        <f>IF(OR($I59="Čaká na biznis",$J59="Biznis",$J59="Švédsky biznis"),"ÁNO","")</f>
        <v/>
      </c>
      <c r="N59" s="2"/>
      <c r="O59" s="3"/>
      <c r="Q59"/>
      <c r="R59" s="3"/>
      <c r="S59" s="3"/>
      <c r="T59"/>
      <c r="U59"/>
      <c r="V59"/>
      <c r="W59"/>
      <c r="Z59"/>
      <c r="AA59"/>
      <c r="AD59"/>
    </row>
    <row r="60" spans="11:30" ht="18" customHeight="1">
      <c r="K60" t="str">
        <f>IF(OR($I60="Čaká na integráciu",$J60="Integrácia"),"ÁNO","")</f>
        <v/>
      </c>
      <c r="L60" t="str">
        <f>IF(OR($I60="Čaká na biznis",$J60="Biznis",$J60="Švédsky biznis"),"ÁNO","")</f>
        <v/>
      </c>
      <c r="N60" s="2"/>
      <c r="O60" s="3"/>
      <c r="Q60"/>
      <c r="R60" s="3"/>
      <c r="S60" s="3"/>
      <c r="T60"/>
      <c r="U60"/>
      <c r="V60"/>
      <c r="W60"/>
      <c r="Z60"/>
      <c r="AA60"/>
      <c r="AD60"/>
    </row>
    <row r="61" spans="11:30" ht="18" customHeight="1">
      <c r="K61" t="str">
        <f>IF(OR($I61="Čaká na integráciu",$J61="Integrácia"),"ÁNO","")</f>
        <v/>
      </c>
      <c r="L61" t="str">
        <f>IF(OR($I61="Čaká na biznis",$J61="Biznis",$J61="Švédsky biznis"),"ÁNO","")</f>
        <v/>
      </c>
      <c r="N61" s="2"/>
      <c r="O61" s="3"/>
      <c r="Q61"/>
      <c r="R61" s="3"/>
      <c r="S61" s="3"/>
      <c r="T61"/>
      <c r="U61"/>
      <c r="V61"/>
      <c r="W61"/>
      <c r="Z61"/>
      <c r="AA61"/>
      <c r="AD61"/>
    </row>
    <row r="62" spans="11:30" ht="18" customHeight="1">
      <c r="K62" t="str">
        <f>IF(OR($I62="Čaká na integráciu",$J62="Integrácia"),"ÁNO","")</f>
        <v/>
      </c>
      <c r="L62" t="str">
        <f>IF(OR($I62="Čaká na biznis",$J62="Biznis",$J62="Švédsky biznis"),"ÁNO","")</f>
        <v/>
      </c>
      <c r="N62" s="2"/>
      <c r="O62" s="3"/>
      <c r="Q62"/>
      <c r="R62" s="3"/>
      <c r="S62" s="3"/>
      <c r="T62"/>
      <c r="U62"/>
      <c r="V62"/>
      <c r="W62"/>
      <c r="Z62"/>
      <c r="AA62"/>
      <c r="AD62"/>
    </row>
    <row r="63" spans="11:30" ht="18" customHeight="1">
      <c r="K63" t="str">
        <f>IF(OR($I63="Čaká na integráciu",$J63="Integrácia"),"ÁNO","")</f>
        <v/>
      </c>
      <c r="L63" t="str">
        <f>IF(OR($I63="Čaká na biznis",$J63="Biznis",$J63="Švédsky biznis"),"ÁNO","")</f>
        <v/>
      </c>
      <c r="N63" s="2"/>
      <c r="O63" s="3"/>
      <c r="Q63"/>
      <c r="R63" s="3"/>
      <c r="S63" s="3"/>
      <c r="T63"/>
      <c r="U63"/>
      <c r="V63"/>
      <c r="W63"/>
      <c r="Z63"/>
      <c r="AA63"/>
      <c r="AD63"/>
    </row>
    <row r="64" spans="11:30" ht="18" customHeight="1">
      <c r="K64" t="str">
        <f>IF(OR($I64="Čaká na integráciu",$J64="Integrácia"),"ÁNO","")</f>
        <v/>
      </c>
      <c r="L64" t="str">
        <f>IF(OR($I64="Čaká na biznis",$J64="Biznis",$J64="Švédsky biznis"),"ÁNO","")</f>
        <v/>
      </c>
      <c r="N64" s="2"/>
      <c r="O64" s="3"/>
      <c r="Q64"/>
      <c r="R64" s="3"/>
      <c r="S64" s="3"/>
      <c r="T64"/>
      <c r="U64"/>
      <c r="V64"/>
      <c r="W64"/>
      <c r="Z64"/>
      <c r="AA64"/>
      <c r="AD64"/>
    </row>
    <row r="65" spans="11:30" ht="18" customHeight="1">
      <c r="K65" t="str">
        <f>IF(OR($I65="Čaká na integráciu",$J65="Integrácia"),"ÁNO","")</f>
        <v/>
      </c>
      <c r="L65" t="str">
        <f>IF(OR($I65="Čaká na biznis",$J65="Biznis",$J65="Švédsky biznis"),"ÁNO","")</f>
        <v/>
      </c>
      <c r="N65" s="2"/>
      <c r="O65" s="3"/>
      <c r="Q65"/>
      <c r="R65" s="3"/>
      <c r="S65" s="3"/>
      <c r="T65"/>
      <c r="U65"/>
      <c r="V65"/>
      <c r="W65"/>
      <c r="Z65"/>
      <c r="AA65"/>
      <c r="AD65"/>
    </row>
    <row r="66" spans="11:30" ht="18" customHeight="1">
      <c r="K66" t="str">
        <f>IF(OR($I66="Čaká na integráciu",$J66="Integrácia"),"ÁNO","")</f>
        <v/>
      </c>
      <c r="L66" t="str">
        <f>IF(OR($I66="Čaká na biznis",$J66="Biznis",$J66="Švédsky biznis"),"ÁNO","")</f>
        <v/>
      </c>
      <c r="N66" s="2"/>
      <c r="O66" s="3"/>
      <c r="Q66"/>
      <c r="R66" s="3"/>
      <c r="S66" s="3"/>
      <c r="T66"/>
      <c r="U66"/>
      <c r="V66"/>
      <c r="W66"/>
      <c r="Z66"/>
      <c r="AA66"/>
      <c r="AD66"/>
    </row>
    <row r="67" spans="11:30" ht="18" customHeight="1">
      <c r="K67" t="str">
        <f>IF(OR($I67="Čaká na integráciu",$J67="Integrácia"),"ÁNO","")</f>
        <v/>
      </c>
      <c r="L67" t="str">
        <f>IF(OR($I67="Čaká na biznis",$J67="Biznis",$J67="Švédsky biznis"),"ÁNO","")</f>
        <v/>
      </c>
      <c r="N67" s="2"/>
      <c r="O67" s="3"/>
      <c r="Q67"/>
      <c r="R67" s="3"/>
      <c r="S67" s="3"/>
      <c r="T67"/>
      <c r="U67"/>
      <c r="V67"/>
      <c r="W67"/>
      <c r="Z67"/>
      <c r="AA67"/>
      <c r="AD67"/>
    </row>
    <row r="68" spans="11:30" ht="18" customHeight="1">
      <c r="K68" t="str">
        <f>IF(OR($I68="Čaká na integráciu",$J68="Integrácia"),"ÁNO","")</f>
        <v/>
      </c>
      <c r="L68" t="str">
        <f>IF(OR($I68="Čaká na biznis",$J68="Biznis",$J68="Švédsky biznis"),"ÁNO","")</f>
        <v/>
      </c>
      <c r="N68" s="2"/>
      <c r="O68" s="3"/>
      <c r="Q68"/>
      <c r="R68" s="3"/>
      <c r="S68" s="3"/>
      <c r="T68"/>
      <c r="U68"/>
      <c r="V68"/>
      <c r="W68"/>
      <c r="Z68"/>
      <c r="AA68"/>
      <c r="AD68"/>
    </row>
    <row r="69" spans="11:30" ht="18" customHeight="1">
      <c r="K69" t="str">
        <f>IF(OR($I69="Čaká na integráciu",$J69="Integrácia"),"ÁNO","")</f>
        <v/>
      </c>
      <c r="L69" t="str">
        <f>IF(OR($I69="Čaká na biznis",$J69="Biznis",$J69="Švédsky biznis"),"ÁNO","")</f>
        <v/>
      </c>
      <c r="N69" s="2"/>
      <c r="O69" s="3"/>
      <c r="Q69"/>
      <c r="R69" s="3"/>
      <c r="S69" s="3"/>
      <c r="T69"/>
      <c r="U69"/>
      <c r="V69"/>
      <c r="W69"/>
      <c r="Z69"/>
      <c r="AA69"/>
      <c r="AD69"/>
    </row>
    <row r="70" spans="11:30" ht="18" customHeight="1">
      <c r="K70" t="str">
        <f>IF(OR($I70="Čaká na integráciu",$J70="Integrácia"),"ÁNO","")</f>
        <v/>
      </c>
      <c r="L70" t="str">
        <f>IF(OR($I70="Čaká na biznis",$J70="Biznis",$J70="Švédsky biznis"),"ÁNO","")</f>
        <v/>
      </c>
      <c r="N70" s="2"/>
      <c r="O70" s="3"/>
      <c r="Q70"/>
      <c r="R70" s="3"/>
      <c r="S70" s="3"/>
      <c r="T70"/>
      <c r="U70"/>
      <c r="V70"/>
      <c r="W70"/>
      <c r="Z70"/>
      <c r="AA70"/>
      <c r="AD70"/>
    </row>
    <row r="71" spans="11:30" ht="18" customHeight="1">
      <c r="K71" t="str">
        <f>IF(OR($I71="Čaká na integráciu",$J71="Integrácia"),"ÁNO","")</f>
        <v/>
      </c>
      <c r="L71" t="str">
        <f>IF(OR($I71="Čaká na biznis",$J71="Biznis",$J71="Švédsky biznis"),"ÁNO","")</f>
        <v/>
      </c>
      <c r="N71" s="2"/>
      <c r="O71" s="3"/>
      <c r="Q71"/>
      <c r="R71" s="3"/>
      <c r="S71" s="3"/>
      <c r="T71"/>
      <c r="U71"/>
      <c r="V71"/>
      <c r="W71"/>
      <c r="Z71"/>
      <c r="AA71"/>
      <c r="AD71"/>
    </row>
    <row r="72" spans="11:30" ht="18" customHeight="1">
      <c r="K72" t="str">
        <f>IF(OR($I72="Čaká na integráciu",$J72="Integrácia"),"ÁNO","")</f>
        <v/>
      </c>
      <c r="L72" t="str">
        <f>IF(OR($I72="Čaká na biznis",$J72="Biznis",$J72="Švédsky biznis"),"ÁNO","")</f>
        <v/>
      </c>
      <c r="N72" s="2"/>
      <c r="O72" s="3"/>
      <c r="Q72"/>
      <c r="R72" s="3"/>
      <c r="S72" s="3"/>
      <c r="T72"/>
      <c r="U72"/>
      <c r="V72"/>
      <c r="W72"/>
      <c r="Z72"/>
      <c r="AA72"/>
      <c r="AD72"/>
    </row>
    <row r="73" spans="11:30" ht="18" customHeight="1">
      <c r="K73" t="str">
        <f>IF(OR($I73="Čaká na integráciu",$J73="Integrácia"),"ÁNO","")</f>
        <v/>
      </c>
      <c r="L73" t="str">
        <f>IF(OR($I73="Čaká na biznis",$J73="Biznis",$J73="Švédsky biznis"),"ÁNO","")</f>
        <v/>
      </c>
      <c r="N73" s="2"/>
      <c r="O73" s="3"/>
      <c r="Q73"/>
      <c r="R73" s="3"/>
      <c r="S73" s="3"/>
      <c r="T73"/>
      <c r="U73"/>
      <c r="V73"/>
      <c r="W73"/>
      <c r="Z73"/>
      <c r="AA73"/>
      <c r="AD73"/>
    </row>
    <row r="74" spans="11:30" ht="18" customHeight="1">
      <c r="K74" t="str">
        <f>IF(OR($I74="Čaká na integráciu",$J74="Integrácia"),"ÁNO","")</f>
        <v/>
      </c>
      <c r="L74" t="str">
        <f>IF(OR($I74="Čaká na biznis",$J74="Biznis",$J74="Švédsky biznis"),"ÁNO","")</f>
        <v/>
      </c>
      <c r="N74" s="2"/>
      <c r="O74" s="3"/>
      <c r="Q74"/>
      <c r="R74" s="3"/>
      <c r="S74" s="3"/>
      <c r="T74"/>
      <c r="U74"/>
      <c r="V74"/>
      <c r="W74"/>
      <c r="Z74"/>
      <c r="AA74"/>
      <c r="AD74"/>
    </row>
    <row r="75" spans="11:30" ht="18" customHeight="1">
      <c r="K75" t="str">
        <f>IF(OR($I75="Čaká na integráciu",$J75="Integrácia"),"ÁNO","")</f>
        <v/>
      </c>
      <c r="L75" t="str">
        <f>IF(OR($I75="Čaká na biznis",$J75="Biznis",$J75="Švédsky biznis"),"ÁNO","")</f>
        <v/>
      </c>
      <c r="N75" s="2"/>
      <c r="O75" s="3"/>
      <c r="Q75"/>
      <c r="R75" s="3"/>
      <c r="S75" s="3"/>
      <c r="T75"/>
      <c r="U75"/>
      <c r="V75"/>
      <c r="W75"/>
      <c r="Z75"/>
      <c r="AA75"/>
      <c r="AD75"/>
    </row>
    <row r="76" spans="11:30" ht="18" customHeight="1">
      <c r="K76" t="str">
        <f>IF(OR($I76="Čaká na integráciu",$J76="Integrácia"),"ÁNO","")</f>
        <v/>
      </c>
      <c r="L76" t="str">
        <f>IF(OR($I76="Čaká na biznis",$J76="Biznis",$J76="Švédsky biznis"),"ÁNO","")</f>
        <v/>
      </c>
      <c r="N76" s="2"/>
      <c r="O76" s="3"/>
      <c r="Q76"/>
      <c r="R76" s="3"/>
      <c r="S76" s="3"/>
      <c r="T76"/>
      <c r="U76"/>
      <c r="V76"/>
      <c r="W76"/>
      <c r="Z76"/>
      <c r="AA76"/>
      <c r="AD76"/>
    </row>
    <row r="77" spans="11:30" ht="18" customHeight="1">
      <c r="K77" t="str">
        <f>IF(OR($I77="Čaká na integráciu",$J77="Integrácia"),"ÁNO","")</f>
        <v/>
      </c>
      <c r="L77" t="str">
        <f>IF(OR($I77="Čaká na biznis",$J77="Biznis",$J77="Švédsky biznis"),"ÁNO","")</f>
        <v/>
      </c>
      <c r="N77" s="2"/>
      <c r="O77" s="3"/>
      <c r="Q77"/>
      <c r="R77" s="3"/>
      <c r="S77" s="3"/>
      <c r="T77"/>
      <c r="U77"/>
      <c r="V77"/>
      <c r="W77"/>
      <c r="Z77"/>
      <c r="AA77"/>
      <c r="AD77"/>
    </row>
    <row r="78" spans="11:30" ht="18" customHeight="1">
      <c r="K78" t="str">
        <f>IF(OR($I78="Čaká na integráciu",$J78="Integrácia"),"ÁNO","")</f>
        <v/>
      </c>
      <c r="L78" t="str">
        <f>IF(OR($I78="Čaká na biznis",$J78="Biznis",$J78="Švédsky biznis"),"ÁNO","")</f>
        <v/>
      </c>
      <c r="N78" s="2"/>
      <c r="O78" s="3"/>
      <c r="Q78"/>
      <c r="R78" s="3"/>
      <c r="S78" s="3"/>
      <c r="T78"/>
      <c r="U78"/>
      <c r="V78"/>
      <c r="W78"/>
      <c r="Z78"/>
      <c r="AA78"/>
      <c r="AD78"/>
    </row>
    <row r="79" spans="11:30" ht="18" customHeight="1">
      <c r="K79" t="str">
        <f>IF(OR($I79="Čaká na integráciu",$J79="Integrácia"),"ÁNO","")</f>
        <v/>
      </c>
      <c r="L79" t="str">
        <f>IF(OR($I79="Čaká na biznis",$J79="Biznis",$J79="Švédsky biznis"),"ÁNO","")</f>
        <v/>
      </c>
      <c r="N79" s="2"/>
      <c r="O79" s="3"/>
      <c r="Q79"/>
      <c r="R79" s="3"/>
      <c r="S79" s="3"/>
      <c r="T79"/>
      <c r="U79"/>
      <c r="V79"/>
      <c r="W79"/>
      <c r="Z79"/>
      <c r="AA79"/>
      <c r="AD79"/>
    </row>
    <row r="80" spans="11:30" ht="18" customHeight="1">
      <c r="K80" t="str">
        <f>IF(OR($I80="Čaká na integráciu",$J80="Integrácia"),"ÁNO","")</f>
        <v/>
      </c>
      <c r="L80" t="str">
        <f>IF(OR($I80="Čaká na biznis",$J80="Biznis",$J80="Švédsky biznis"),"ÁNO","")</f>
        <v/>
      </c>
      <c r="N80" s="2"/>
      <c r="O80" s="3"/>
      <c r="Q80"/>
      <c r="R80" s="3"/>
      <c r="S80" s="3"/>
      <c r="T80"/>
      <c r="U80"/>
      <c r="V80"/>
      <c r="W80"/>
      <c r="Z80"/>
      <c r="AA80"/>
      <c r="AD80"/>
    </row>
    <row r="81" spans="11:30" ht="18" customHeight="1">
      <c r="K81" t="str">
        <f>IF(OR($I81="Čaká na integráciu",$J81="Integrácia"),"ÁNO","")</f>
        <v/>
      </c>
      <c r="L81" t="str">
        <f>IF(OR($I81="Čaká na biznis",$J81="Biznis",$J81="Švédsky biznis"),"ÁNO","")</f>
        <v/>
      </c>
      <c r="N81" s="2"/>
      <c r="O81" s="3"/>
      <c r="Q81"/>
      <c r="R81" s="3"/>
      <c r="S81" s="3"/>
      <c r="T81"/>
      <c r="U81"/>
      <c r="V81"/>
      <c r="W81"/>
      <c r="Z81"/>
      <c r="AA81"/>
      <c r="AD81"/>
    </row>
    <row r="82" spans="11:30" ht="18" customHeight="1">
      <c r="K82" t="str">
        <f>IF(OR($I82="Čaká na integráciu",$J82="Integrácia"),"ÁNO","")</f>
        <v/>
      </c>
      <c r="L82" t="str">
        <f>IF(OR($I82="Čaká na biznis",$J82="Biznis",$J82="Švédsky biznis"),"ÁNO","")</f>
        <v/>
      </c>
      <c r="N82" s="2"/>
      <c r="O82" s="3"/>
      <c r="Q82"/>
      <c r="R82" s="3"/>
      <c r="S82" s="3"/>
      <c r="T82"/>
      <c r="U82"/>
      <c r="V82"/>
      <c r="W82"/>
      <c r="Z82"/>
      <c r="AA82"/>
      <c r="AD82"/>
    </row>
    <row r="83" spans="11:30" ht="18" customHeight="1">
      <c r="K83" t="str">
        <f>IF(OR($I83="Čaká na integráciu",$J83="Integrácia"),"ÁNO","")</f>
        <v/>
      </c>
      <c r="L83" t="str">
        <f>IF(OR($I83="Čaká na biznis",$J83="Biznis",$J83="Švédsky biznis"),"ÁNO","")</f>
        <v/>
      </c>
      <c r="N83" s="2"/>
      <c r="O83" s="3"/>
      <c r="Q83"/>
      <c r="R83" s="3"/>
      <c r="S83" s="3"/>
      <c r="T83"/>
      <c r="U83"/>
      <c r="V83"/>
      <c r="W83"/>
      <c r="Z83"/>
      <c r="AA83"/>
      <c r="AD83"/>
    </row>
    <row r="84" spans="11:30" ht="18" customHeight="1">
      <c r="K84" t="str">
        <f>IF(OR($I84="Čaká na integráciu",$J84="Integrácia"),"ÁNO","")</f>
        <v/>
      </c>
      <c r="L84" t="str">
        <f>IF(OR($I84="Čaká na biznis",$J84="Biznis",$J84="Švédsky biznis"),"ÁNO","")</f>
        <v/>
      </c>
      <c r="N84" s="2"/>
      <c r="O84" s="3"/>
      <c r="Q84"/>
      <c r="R84" s="3"/>
      <c r="S84" s="3"/>
      <c r="T84"/>
      <c r="U84"/>
      <c r="V84"/>
      <c r="W84"/>
      <c r="Z84"/>
      <c r="AA84"/>
      <c r="AD84"/>
    </row>
    <row r="85" spans="11:30" ht="18" customHeight="1">
      <c r="K85" t="str">
        <f>IF(OR($I85="Čaká na integráciu",$J85="Integrácia"),"ÁNO","")</f>
        <v/>
      </c>
      <c r="L85" t="str">
        <f>IF(OR($I85="Čaká na biznis",$J85="Biznis",$J85="Švédsky biznis"),"ÁNO","")</f>
        <v/>
      </c>
      <c r="N85" s="2"/>
      <c r="O85" s="3"/>
      <c r="Q85"/>
      <c r="R85" s="3"/>
      <c r="S85" s="3"/>
      <c r="T85"/>
      <c r="U85"/>
      <c r="V85"/>
      <c r="W85"/>
      <c r="Z85"/>
      <c r="AA85"/>
      <c r="AD85"/>
    </row>
    <row r="86" spans="11:30" ht="18" customHeight="1">
      <c r="K86" t="str">
        <f>IF(OR($I86="Čaká na integráciu",$J86="Integrácia"),"ÁNO","")</f>
        <v/>
      </c>
      <c r="L86" t="str">
        <f>IF(OR($I86="Čaká na biznis",$J86="Biznis",$J86="Švédsky biznis"),"ÁNO","")</f>
        <v/>
      </c>
      <c r="N86" s="2"/>
      <c r="O86" s="3"/>
      <c r="Q86"/>
      <c r="R86" s="3"/>
      <c r="S86" s="3"/>
      <c r="T86"/>
      <c r="U86"/>
      <c r="V86"/>
      <c r="W86"/>
      <c r="Z86"/>
      <c r="AA86"/>
      <c r="AD86"/>
    </row>
    <row r="87" spans="11:30" ht="18" customHeight="1">
      <c r="K87" t="str">
        <f>IF(OR($I87="Čaká na integráciu",$J87="Integrácia"),"ÁNO","")</f>
        <v/>
      </c>
      <c r="L87" t="str">
        <f>IF(OR($I87="Čaká na biznis",$J87="Biznis",$J87="Švédsky biznis"),"ÁNO","")</f>
        <v/>
      </c>
      <c r="N87" s="2"/>
      <c r="O87" s="3"/>
      <c r="Q87"/>
      <c r="R87" s="3"/>
      <c r="S87" s="3"/>
      <c r="T87"/>
      <c r="U87"/>
      <c r="V87"/>
      <c r="W87"/>
      <c r="Z87"/>
      <c r="AA87"/>
      <c r="AD87"/>
    </row>
    <row r="88" spans="11:30" ht="18" customHeight="1">
      <c r="K88" t="str">
        <f>IF(OR($I88="Čaká na integráciu",$J88="Integrácia"),"ÁNO","")</f>
        <v/>
      </c>
      <c r="L88" t="str">
        <f>IF(OR($I88="Čaká na biznis",$J88="Biznis",$J88="Švédsky biznis"),"ÁNO","")</f>
        <v/>
      </c>
      <c r="N88" s="2"/>
      <c r="O88" s="3"/>
      <c r="Q88"/>
      <c r="R88" s="3"/>
      <c r="S88" s="3"/>
      <c r="T88"/>
      <c r="U88"/>
      <c r="V88"/>
      <c r="W88"/>
      <c r="Z88"/>
      <c r="AA88"/>
      <c r="AD88"/>
    </row>
    <row r="89" spans="11:30" ht="18" customHeight="1">
      <c r="K89" t="str">
        <f>IF(OR($I89="Čaká na integráciu",$J89="Integrácia"),"ÁNO","")</f>
        <v/>
      </c>
      <c r="L89" t="str">
        <f>IF(OR($I89="Čaká na biznis",$J89="Biznis",$J89="Švédsky biznis"),"ÁNO","")</f>
        <v/>
      </c>
      <c r="N89" s="2"/>
      <c r="O89" s="3"/>
      <c r="Q89"/>
      <c r="R89" s="3"/>
      <c r="S89" s="3"/>
      <c r="T89"/>
      <c r="U89"/>
      <c r="V89"/>
      <c r="W89"/>
      <c r="Z89"/>
      <c r="AA89"/>
      <c r="AD89"/>
    </row>
    <row r="90" spans="11:30" ht="18" customHeight="1">
      <c r="K90" t="str">
        <f>IF(OR($I90="Čaká na integráciu",$J90="Integrácia"),"ÁNO","")</f>
        <v/>
      </c>
      <c r="L90" t="str">
        <f>IF(OR($I90="Čaká na biznis",$J90="Biznis",$J90="Švédsky biznis"),"ÁNO","")</f>
        <v/>
      </c>
      <c r="N90" s="2"/>
      <c r="O90" s="3"/>
      <c r="Q90"/>
      <c r="R90" s="3"/>
      <c r="S90" s="3"/>
      <c r="T90"/>
      <c r="U90"/>
      <c r="V90"/>
      <c r="W90"/>
      <c r="Z90"/>
      <c r="AA90"/>
      <c r="AD90"/>
    </row>
    <row r="91" spans="11:30" ht="18" customHeight="1">
      <c r="K91" t="str">
        <f>IF(OR($I91="Čaká na integráciu",$J91="Integrácia"),"ÁNO","")</f>
        <v/>
      </c>
      <c r="L91" t="str">
        <f>IF(OR($I91="Čaká na biznis",$J91="Biznis",$J91="Švédsky biznis"),"ÁNO","")</f>
        <v/>
      </c>
      <c r="N91" s="2"/>
      <c r="O91" s="3"/>
      <c r="Q91"/>
      <c r="R91" s="3"/>
      <c r="S91" s="3"/>
      <c r="T91"/>
      <c r="U91"/>
      <c r="V91"/>
      <c r="W91"/>
      <c r="Z91"/>
      <c r="AA91"/>
      <c r="AD91"/>
    </row>
    <row r="92" spans="11:30" ht="18" customHeight="1">
      <c r="K92" t="str">
        <f>IF(OR($I92="Čaká na integráciu",$J92="Integrácia"),"ÁNO","")</f>
        <v/>
      </c>
      <c r="L92" t="str">
        <f>IF(OR($I92="Čaká na biznis",$J92="Biznis",$J92="Švédsky biznis"),"ÁNO","")</f>
        <v/>
      </c>
      <c r="N92" s="2"/>
      <c r="O92" s="3"/>
      <c r="Q92"/>
      <c r="R92" s="3"/>
      <c r="S92" s="3"/>
      <c r="T92"/>
      <c r="U92"/>
      <c r="V92"/>
      <c r="W92"/>
      <c r="Z92"/>
      <c r="AA92"/>
      <c r="AD92"/>
    </row>
    <row r="93" spans="11:30" ht="18" customHeight="1">
      <c r="K93" t="str">
        <f>IF(OR($I93="Čaká na integráciu",$J93="Integrácia"),"ÁNO","")</f>
        <v/>
      </c>
      <c r="L93" t="str">
        <f>IF(OR($I93="Čaká na biznis",$J93="Biznis",$J93="Švédsky biznis"),"ÁNO","")</f>
        <v/>
      </c>
      <c r="N93" s="2"/>
      <c r="O93" s="3"/>
      <c r="Q93"/>
      <c r="R93" s="3"/>
      <c r="S93" s="3"/>
      <c r="T93"/>
      <c r="U93"/>
      <c r="V93"/>
      <c r="W93"/>
      <c r="Z93"/>
      <c r="AA93"/>
      <c r="AD93"/>
    </row>
    <row r="94" spans="11:30" ht="18" customHeight="1">
      <c r="K94" t="str">
        <f>IF(OR($I94="Čaká na integráciu",$J94="Integrácia"),"ÁNO","")</f>
        <v/>
      </c>
      <c r="L94" t="str">
        <f>IF(OR($I94="Čaká na biznis",$J94="Biznis",$J94="Švédsky biznis"),"ÁNO","")</f>
        <v/>
      </c>
      <c r="N94" s="2"/>
      <c r="O94" s="3"/>
      <c r="Q94"/>
      <c r="R94" s="3"/>
      <c r="S94" s="3"/>
      <c r="T94"/>
      <c r="U94"/>
      <c r="V94"/>
      <c r="W94"/>
      <c r="Z94"/>
      <c r="AA94"/>
      <c r="AD94"/>
    </row>
    <row r="95" spans="11:30" ht="18" customHeight="1">
      <c r="K95" t="str">
        <f>IF(OR($I95="Čaká na integráciu",$J95="Integrácia"),"ÁNO","")</f>
        <v/>
      </c>
      <c r="L95" t="str">
        <f>IF(OR($I95="Čaká na biznis",$J95="Biznis",$J95="Švédsky biznis"),"ÁNO","")</f>
        <v/>
      </c>
      <c r="N95" s="2"/>
      <c r="O95" s="3"/>
      <c r="Q95"/>
      <c r="R95" s="3"/>
      <c r="S95" s="3"/>
      <c r="T95"/>
      <c r="U95"/>
      <c r="V95"/>
      <c r="W95"/>
      <c r="Z95"/>
      <c r="AA95"/>
      <c r="AD95"/>
    </row>
    <row r="96" spans="11:30" ht="18" customHeight="1">
      <c r="K96" t="str">
        <f>IF(OR($I96="Čaká na integráciu",$J96="Integrácia"),"ÁNO","")</f>
        <v/>
      </c>
      <c r="L96" t="str">
        <f>IF(OR($I96="Čaká na biznis",$J96="Biznis",$J96="Švédsky biznis"),"ÁNO","")</f>
        <v/>
      </c>
      <c r="N96" s="2"/>
      <c r="O96" s="3"/>
      <c r="Q96"/>
      <c r="R96" s="3"/>
      <c r="S96" s="3"/>
      <c r="T96"/>
      <c r="U96"/>
      <c r="V96"/>
      <c r="W96"/>
      <c r="Z96"/>
      <c r="AA96"/>
      <c r="AD96"/>
    </row>
    <row r="97" spans="11:30" ht="18" customHeight="1">
      <c r="K97" t="str">
        <f>IF(OR($I97="Čaká na integráciu",$J97="Integrácia"),"ÁNO","")</f>
        <v/>
      </c>
      <c r="L97" t="str">
        <f>IF(OR($I97="Čaká na biznis",$J97="Biznis",$J97="Švédsky biznis"),"ÁNO","")</f>
        <v/>
      </c>
      <c r="N97" s="2"/>
      <c r="O97" s="3"/>
      <c r="Q97"/>
      <c r="R97" s="3"/>
      <c r="S97" s="3"/>
      <c r="T97"/>
      <c r="U97"/>
      <c r="V97"/>
      <c r="W97"/>
      <c r="Z97"/>
      <c r="AA97"/>
      <c r="AD97"/>
    </row>
    <row r="98" spans="11:30" ht="18" customHeight="1">
      <c r="K98" t="str">
        <f>IF(OR($I98="Čaká na integráciu",$J98="Integrácia"),"ÁNO","")</f>
        <v/>
      </c>
      <c r="L98" t="str">
        <f>IF(OR($I98="Čaká na biznis",$J98="Biznis",$J98="Švédsky biznis"),"ÁNO","")</f>
        <v/>
      </c>
      <c r="N98" s="2"/>
      <c r="O98" s="3"/>
      <c r="Q98"/>
      <c r="R98" s="3"/>
      <c r="S98" s="3"/>
      <c r="T98"/>
      <c r="U98"/>
      <c r="V98"/>
      <c r="W98"/>
      <c r="Z98"/>
      <c r="AA98"/>
      <c r="AD98"/>
    </row>
    <row r="99" spans="11:30" ht="18" customHeight="1">
      <c r="K99" t="str">
        <f>IF(OR($I99="Čaká na integráciu",$J99="Integrácia"),"ÁNO","")</f>
        <v/>
      </c>
      <c r="L99" t="str">
        <f>IF(OR($I99="Čaká na biznis",$J99="Biznis",$J99="Švédsky biznis"),"ÁNO","")</f>
        <v/>
      </c>
      <c r="N99" s="2"/>
      <c r="O99" s="3"/>
      <c r="Q99"/>
      <c r="R99" s="3"/>
      <c r="S99" s="3"/>
      <c r="T99"/>
      <c r="U99"/>
      <c r="V99"/>
      <c r="W99"/>
      <c r="Z99"/>
      <c r="AA99"/>
      <c r="AD99"/>
    </row>
    <row r="100" spans="11:30" ht="18" customHeight="1">
      <c r="K100" t="str">
        <f>IF(OR($I100="Čaká na integráciu",$J100="Integrácia"),"ÁNO","")</f>
        <v/>
      </c>
      <c r="L100" t="str">
        <f>IF(OR($I100="Čaká na biznis",$J100="Biznis",$J100="Švédsky biznis"),"ÁNO","")</f>
        <v/>
      </c>
      <c r="N100" s="2"/>
      <c r="O100" s="3"/>
      <c r="Q100"/>
      <c r="R100" s="3"/>
      <c r="S100" s="3"/>
      <c r="T100"/>
      <c r="U100"/>
      <c r="V100"/>
      <c r="W100"/>
      <c r="Z100"/>
      <c r="AA100"/>
      <c r="AD100"/>
    </row>
    <row r="101" spans="11:30" ht="18" customHeight="1">
      <c r="K101" t="str">
        <f>IF(OR($I101="Čaká na integráciu",$J101="Integrácia"),"ÁNO","")</f>
        <v/>
      </c>
      <c r="L101" t="str">
        <f>IF(OR($I101="Čaká na biznis",$J101="Biznis",$J101="Švédsky biznis"),"ÁNO","")</f>
        <v/>
      </c>
      <c r="N101" s="2"/>
      <c r="O101" s="3"/>
      <c r="Q101"/>
      <c r="R101" s="3"/>
      <c r="S101" s="3"/>
      <c r="T101"/>
      <c r="U101"/>
      <c r="V101"/>
      <c r="W101"/>
      <c r="Z101"/>
      <c r="AA101"/>
      <c r="AD101"/>
    </row>
    <row r="102" spans="11:30" ht="18" customHeight="1">
      <c r="K102" t="str">
        <f>IF(OR($I102="Čaká na integráciu",$J102="Integrácia"),"ÁNO","")</f>
        <v/>
      </c>
      <c r="L102" t="str">
        <f>IF(OR($I102="Čaká na biznis",$J102="Biznis",$J102="Švédsky biznis"),"ÁNO","")</f>
        <v/>
      </c>
      <c r="N102" s="2"/>
      <c r="O102" s="3"/>
      <c r="Q102"/>
      <c r="R102" s="3"/>
      <c r="S102" s="3"/>
      <c r="T102"/>
      <c r="U102"/>
      <c r="V102"/>
      <c r="W102"/>
      <c r="Z102"/>
      <c r="AA102"/>
      <c r="AD102"/>
    </row>
    <row r="103" spans="11:30" ht="18" customHeight="1">
      <c r="K103" t="str">
        <f>IF(OR($I103="Čaká na integráciu",$J103="Integrácia"),"ÁNO","")</f>
        <v/>
      </c>
      <c r="L103" t="str">
        <f>IF(OR($I103="Čaká na biznis",$J103="Biznis",$J103="Švédsky biznis"),"ÁNO","")</f>
        <v/>
      </c>
      <c r="N103" s="2"/>
      <c r="O103" s="3"/>
      <c r="Q103"/>
      <c r="R103" s="3"/>
      <c r="S103" s="3"/>
      <c r="T103"/>
      <c r="U103"/>
      <c r="V103"/>
      <c r="W103"/>
      <c r="Z103"/>
      <c r="AA103"/>
      <c r="AD103"/>
    </row>
    <row r="104" spans="11:30" ht="18" customHeight="1">
      <c r="K104" t="str">
        <f>IF(OR($I104="Čaká na integráciu",$J104="Integrácia"),"ÁNO","")</f>
        <v/>
      </c>
      <c r="L104" t="str">
        <f>IF(OR($I104="Čaká na biznis",$J104="Biznis",$J104="Švédsky biznis"),"ÁNO","")</f>
        <v/>
      </c>
      <c r="N104" s="2"/>
      <c r="O104" s="3"/>
      <c r="Q104"/>
      <c r="R104" s="3"/>
      <c r="S104" s="3"/>
      <c r="T104"/>
      <c r="U104"/>
      <c r="V104"/>
      <c r="W104"/>
      <c r="Z104"/>
      <c r="AA104"/>
      <c r="AD104"/>
    </row>
    <row r="105" spans="11:30" ht="18" customHeight="1">
      <c r="K105" t="str">
        <f>IF(OR($I105="Čaká na integráciu",$J105="Integrácia"),"ÁNO","")</f>
        <v/>
      </c>
      <c r="L105" t="str">
        <f>IF(OR($I105="Čaká na biznis",$J105="Biznis",$J105="Švédsky biznis"),"ÁNO","")</f>
        <v/>
      </c>
      <c r="N105" s="2"/>
      <c r="O105" s="3"/>
      <c r="Q105"/>
      <c r="R105" s="3"/>
      <c r="S105" s="3"/>
      <c r="T105"/>
      <c r="U105"/>
      <c r="V105"/>
      <c r="W105"/>
      <c r="Z105"/>
      <c r="AA105"/>
      <c r="AD105"/>
    </row>
    <row r="106" spans="11:30" ht="18" customHeight="1">
      <c r="K106" t="str">
        <f>IF(OR($I106="Čaká na integráciu",$J106="Integrácia"),"ÁNO","")</f>
        <v/>
      </c>
      <c r="L106" t="str">
        <f>IF(OR($I106="Čaká na biznis",$J106="Biznis",$J106="Švédsky biznis"),"ÁNO","")</f>
        <v/>
      </c>
      <c r="N106" s="2"/>
      <c r="O106" s="3"/>
      <c r="Q106"/>
      <c r="R106" s="3"/>
      <c r="S106" s="3"/>
      <c r="T106"/>
      <c r="U106"/>
      <c r="V106"/>
      <c r="W106"/>
      <c r="Z106"/>
      <c r="AA106"/>
      <c r="AD106"/>
    </row>
    <row r="107" spans="11:30" ht="18" customHeight="1">
      <c r="K107" t="str">
        <f>IF(OR($I107="Čaká na integráciu",$J107="Integrácia"),"ÁNO","")</f>
        <v/>
      </c>
      <c r="L107" t="str">
        <f>IF(OR($I107="Čaká na biznis",$J107="Biznis",$J107="Švédsky biznis"),"ÁNO","")</f>
        <v/>
      </c>
      <c r="N107" s="2"/>
      <c r="O107" s="3"/>
      <c r="Q107"/>
      <c r="R107" s="3"/>
      <c r="S107" s="3"/>
      <c r="T107"/>
      <c r="U107"/>
      <c r="V107"/>
      <c r="W107"/>
      <c r="Z107"/>
      <c r="AA107"/>
      <c r="AD107"/>
    </row>
    <row r="108" spans="11:30" ht="18" customHeight="1">
      <c r="K108" t="str">
        <f>IF(OR($I108="Čaká na integráciu",$J108="Integrácia"),"ÁNO","")</f>
        <v/>
      </c>
      <c r="L108" t="str">
        <f>IF(OR($I108="Čaká na biznis",$J108="Biznis",$J108="Švédsky biznis"),"ÁNO","")</f>
        <v/>
      </c>
      <c r="N108" s="2"/>
      <c r="O108" s="3"/>
      <c r="Q108"/>
      <c r="R108" s="3"/>
      <c r="S108" s="3"/>
      <c r="T108"/>
      <c r="U108"/>
      <c r="V108"/>
      <c r="W108"/>
      <c r="Z108"/>
      <c r="AA108"/>
      <c r="AD108"/>
    </row>
    <row r="109" spans="11:30" ht="18" customHeight="1">
      <c r="K109" t="str">
        <f>IF(OR($I109="Čaká na integráciu",$J109="Integrácia"),"ÁNO","")</f>
        <v/>
      </c>
      <c r="L109" t="str">
        <f>IF(OR($I109="Čaká na biznis",$J109="Biznis",$J109="Švédsky biznis"),"ÁNO","")</f>
        <v/>
      </c>
      <c r="N109" s="2"/>
      <c r="O109" s="3"/>
      <c r="Q109"/>
      <c r="R109" s="3"/>
      <c r="S109" s="3"/>
      <c r="T109"/>
      <c r="U109"/>
      <c r="V109"/>
      <c r="W109"/>
      <c r="Z109"/>
      <c r="AA109"/>
      <c r="AD109"/>
    </row>
    <row r="110" spans="11:30" ht="18" customHeight="1">
      <c r="K110" t="str">
        <f>IF(OR($I110="Čaká na integráciu",$J110="Integrácia"),"ÁNO","")</f>
        <v/>
      </c>
      <c r="L110" t="str">
        <f>IF(OR($I110="Čaká na biznis",$J110="Biznis",$J110="Švédsky biznis"),"ÁNO","")</f>
        <v/>
      </c>
      <c r="N110" s="2"/>
      <c r="O110" s="3"/>
      <c r="Q110"/>
      <c r="R110" s="3"/>
      <c r="S110" s="3"/>
      <c r="T110"/>
      <c r="U110"/>
      <c r="V110"/>
      <c r="W110"/>
      <c r="Z110"/>
      <c r="AA110"/>
      <c r="AD110"/>
    </row>
    <row r="111" spans="11:30" ht="18" customHeight="1">
      <c r="K111" t="str">
        <f>IF(OR($I111="Čaká na integráciu",$J111="Integrácia"),"ÁNO","")</f>
        <v/>
      </c>
      <c r="L111" t="str">
        <f>IF(OR($I111="Čaká na biznis",$J111="Biznis",$J111="Švédsky biznis"),"ÁNO","")</f>
        <v/>
      </c>
      <c r="N111" s="2"/>
      <c r="O111" s="3"/>
      <c r="Q111"/>
      <c r="R111" s="3"/>
      <c r="S111" s="3"/>
      <c r="T111"/>
      <c r="U111"/>
      <c r="V111"/>
      <c r="W111"/>
      <c r="Z111"/>
      <c r="AA111"/>
      <c r="AD111"/>
    </row>
    <row r="112" spans="11:30" ht="18" customHeight="1">
      <c r="K112" t="str">
        <f>IF(OR($I112="Čaká na integráciu",$J112="Integrácia"),"ÁNO","")</f>
        <v/>
      </c>
      <c r="L112" t="str">
        <f>IF(OR($I112="Čaká na biznis",$J112="Biznis",$J112="Švédsky biznis"),"ÁNO","")</f>
        <v/>
      </c>
      <c r="N112" s="2"/>
      <c r="O112" s="3"/>
      <c r="Q112"/>
      <c r="R112" s="3"/>
      <c r="S112" s="3"/>
      <c r="T112"/>
      <c r="U112"/>
      <c r="V112"/>
      <c r="W112"/>
      <c r="Z112"/>
      <c r="AA112"/>
      <c r="AD112"/>
    </row>
    <row r="113" spans="11:30" ht="18" customHeight="1">
      <c r="K113" t="str">
        <f>IF(OR($I113="Čaká na integráciu",$J113="Integrácia"),"ÁNO","")</f>
        <v/>
      </c>
      <c r="L113" t="str">
        <f>IF(OR($I113="Čaká na biznis",$J113="Biznis",$J113="Švédsky biznis"),"ÁNO","")</f>
        <v/>
      </c>
      <c r="N113" s="2"/>
      <c r="O113" s="3"/>
      <c r="Q113"/>
      <c r="R113" s="3"/>
      <c r="S113" s="3"/>
      <c r="T113"/>
      <c r="U113"/>
      <c r="V113"/>
      <c r="W113"/>
      <c r="Z113"/>
      <c r="AA113"/>
      <c r="AD113"/>
    </row>
    <row r="114" spans="11:30" ht="18" customHeight="1">
      <c r="K114" t="str">
        <f>IF(OR($I114="Čaká na integráciu",$J114="Integrácia"),"ÁNO","")</f>
        <v/>
      </c>
      <c r="L114" t="str">
        <f>IF(OR($I114="Čaká na biznis",$J114="Biznis",$J114="Švédsky biznis"),"ÁNO","")</f>
        <v/>
      </c>
      <c r="N114" s="2"/>
      <c r="O114" s="3"/>
      <c r="Q114"/>
      <c r="R114" s="3"/>
      <c r="S114" s="3"/>
      <c r="T114"/>
      <c r="U114"/>
      <c r="V114"/>
      <c r="W114"/>
      <c r="Z114"/>
      <c r="AA114"/>
      <c r="AD114"/>
    </row>
    <row r="115" spans="11:30" ht="18" customHeight="1">
      <c r="K115" t="str">
        <f>IF(OR($I115="Čaká na integráciu",$J115="Integrácia"),"ÁNO","")</f>
        <v/>
      </c>
      <c r="L115" t="str">
        <f>IF(OR($I115="Čaká na biznis",$J115="Biznis",$J115="Švédsky biznis"),"ÁNO","")</f>
        <v/>
      </c>
      <c r="N115" s="2"/>
      <c r="O115" s="3"/>
      <c r="Q115"/>
      <c r="R115" s="3"/>
      <c r="S115" s="3"/>
      <c r="T115"/>
      <c r="U115"/>
      <c r="V115"/>
      <c r="W115"/>
      <c r="Z115"/>
      <c r="AA115"/>
      <c r="AD115"/>
    </row>
    <row r="116" spans="11:30" ht="18" customHeight="1">
      <c r="K116" t="str">
        <f>IF(OR($I116="Čaká na integráciu",$J116="Integrácia"),"ÁNO","")</f>
        <v/>
      </c>
      <c r="L116" t="str">
        <f>IF(OR($I116="Čaká na biznis",$J116="Biznis",$J116="Švédsky biznis"),"ÁNO","")</f>
        <v/>
      </c>
      <c r="N116" s="2"/>
      <c r="O116" s="3"/>
      <c r="Q116"/>
      <c r="R116" s="3"/>
      <c r="S116" s="3"/>
      <c r="T116"/>
      <c r="U116"/>
      <c r="V116"/>
      <c r="W116"/>
      <c r="Z116"/>
      <c r="AA116"/>
      <c r="AD116"/>
    </row>
    <row r="117" spans="11:30" ht="18" customHeight="1">
      <c r="K117" t="str">
        <f>IF(OR($I117="Čaká na integráciu",$J117="Integrácia"),"ÁNO","")</f>
        <v/>
      </c>
      <c r="L117" t="str">
        <f>IF(OR($I117="Čaká na biznis",$J117="Biznis",$J117="Švédsky biznis"),"ÁNO","")</f>
        <v/>
      </c>
      <c r="N117" s="2"/>
      <c r="O117" s="3"/>
      <c r="Q117"/>
      <c r="R117" s="3"/>
      <c r="S117" s="3"/>
      <c r="T117"/>
      <c r="U117"/>
      <c r="V117"/>
      <c r="W117"/>
      <c r="Z117"/>
      <c r="AA117"/>
      <c r="AD117"/>
    </row>
    <row r="118" spans="11:30" ht="18" customHeight="1">
      <c r="K118" t="str">
        <f>IF(OR($I118="Čaká na integráciu",$J118="Integrácia"),"ÁNO","")</f>
        <v/>
      </c>
      <c r="L118" t="str">
        <f>IF(OR($I118="Čaká na biznis",$J118="Biznis",$J118="Švédsky biznis"),"ÁNO","")</f>
        <v/>
      </c>
      <c r="N118" s="2"/>
      <c r="O118" s="3"/>
      <c r="Q118"/>
      <c r="R118" s="3"/>
      <c r="S118" s="3"/>
      <c r="T118"/>
      <c r="U118"/>
      <c r="V118"/>
      <c r="W118"/>
      <c r="Z118"/>
      <c r="AA118"/>
      <c r="AD118"/>
    </row>
    <row r="119" spans="11:30" ht="18" customHeight="1">
      <c r="K119" t="str">
        <f>IF(OR($I119="Čaká na integráciu",$J119="Integrácia"),"ÁNO","")</f>
        <v/>
      </c>
      <c r="L119" t="str">
        <f>IF(OR($I119="Čaká na biznis",$J119="Biznis",$J119="Švédsky biznis"),"ÁNO","")</f>
        <v/>
      </c>
      <c r="N119" s="2"/>
      <c r="O119" s="3"/>
      <c r="Q119"/>
      <c r="R119" s="3"/>
      <c r="S119" s="3"/>
      <c r="T119"/>
      <c r="U119"/>
      <c r="V119"/>
      <c r="W119"/>
      <c r="Z119"/>
      <c r="AA119"/>
      <c r="AD119"/>
    </row>
    <row r="120" spans="11:30" ht="18" customHeight="1">
      <c r="K120" t="str">
        <f>IF(OR($I120="Čaká na integráciu",$J120="Integrácia"),"ÁNO","")</f>
        <v/>
      </c>
      <c r="L120" t="str">
        <f>IF(OR($I120="Čaká na biznis",$J120="Biznis",$J120="Švédsky biznis"),"ÁNO","")</f>
        <v/>
      </c>
      <c r="N120" s="2"/>
      <c r="O120" s="3"/>
      <c r="Q120"/>
      <c r="R120" s="3"/>
      <c r="S120" s="3"/>
      <c r="T120"/>
      <c r="U120"/>
      <c r="V120"/>
      <c r="W120"/>
      <c r="Z120"/>
      <c r="AA120"/>
      <c r="AD120"/>
    </row>
    <row r="121" spans="11:30" ht="18" customHeight="1">
      <c r="K121" t="str">
        <f>IF(OR($I121="Čaká na integráciu",$J121="Integrácia"),"ÁNO","")</f>
        <v/>
      </c>
      <c r="L121" t="str">
        <f>IF(OR($I121="Čaká na biznis",$J121="Biznis",$J121="Švédsky biznis"),"ÁNO","")</f>
        <v/>
      </c>
      <c r="N121" s="2"/>
      <c r="O121" s="3"/>
      <c r="Q121"/>
      <c r="R121" s="3"/>
      <c r="S121" s="3"/>
      <c r="T121"/>
      <c r="U121"/>
      <c r="V121"/>
      <c r="W121"/>
      <c r="Z121"/>
      <c r="AA121"/>
      <c r="AD121"/>
    </row>
    <row r="122" spans="11:30" ht="18" customHeight="1">
      <c r="K122" t="str">
        <f>IF(OR($I122="Čaká na integráciu",$J122="Integrácia"),"ÁNO","")</f>
        <v/>
      </c>
      <c r="L122" t="str">
        <f>IF(OR($I122="Čaká na biznis",$J122="Biznis",$J122="Švédsky biznis"),"ÁNO","")</f>
        <v/>
      </c>
      <c r="N122" s="2"/>
      <c r="O122" s="3"/>
      <c r="Q122"/>
      <c r="R122" s="3"/>
      <c r="S122" s="3"/>
      <c r="T122"/>
      <c r="U122"/>
      <c r="V122"/>
      <c r="W122"/>
      <c r="Z122"/>
      <c r="AA122"/>
      <c r="AD122"/>
    </row>
    <row r="123" spans="11:30" ht="18" customHeight="1">
      <c r="K123" t="str">
        <f>IF(OR($I123="Čaká na integráciu",$J123="Integrácia"),"ÁNO","")</f>
        <v/>
      </c>
      <c r="L123" t="str">
        <f>IF(OR($I123="Čaká na biznis",$J123="Biznis",$J123="Švédsky biznis"),"ÁNO","")</f>
        <v/>
      </c>
      <c r="N123" s="2"/>
      <c r="O123" s="3"/>
      <c r="Q123"/>
      <c r="R123" s="3"/>
      <c r="S123" s="3"/>
      <c r="T123"/>
      <c r="U123"/>
      <c r="V123"/>
      <c r="W123"/>
      <c r="Z123"/>
      <c r="AA123"/>
      <c r="AD123"/>
    </row>
    <row r="124" spans="11:30" ht="18" customHeight="1">
      <c r="K124" t="str">
        <f>IF(OR($I124="Čaká na integráciu",$J124="Integrácia"),"ÁNO","")</f>
        <v/>
      </c>
      <c r="L124" t="str">
        <f>IF(OR($I124="Čaká na biznis",$J124="Biznis",$J124="Švédsky biznis"),"ÁNO","")</f>
        <v/>
      </c>
      <c r="N124" s="2"/>
      <c r="O124" s="3"/>
      <c r="Q124"/>
      <c r="R124" s="3"/>
      <c r="S124" s="3"/>
      <c r="T124"/>
      <c r="U124"/>
      <c r="V124"/>
      <c r="W124"/>
      <c r="Z124"/>
      <c r="AA124"/>
      <c r="AD124"/>
    </row>
    <row r="125" spans="11:30" ht="18" customHeight="1">
      <c r="K125" t="str">
        <f>IF(OR($I125="Čaká na integráciu",$J125="Integrácia"),"ÁNO","")</f>
        <v/>
      </c>
      <c r="L125" t="str">
        <f>IF(OR($I125="Čaká na biznis",$J125="Biznis",$J125="Švédsky biznis"),"ÁNO","")</f>
        <v/>
      </c>
      <c r="N125" s="2"/>
      <c r="O125" s="3"/>
      <c r="Q125"/>
      <c r="R125" s="3"/>
      <c r="S125" s="3"/>
      <c r="T125"/>
      <c r="U125"/>
      <c r="V125"/>
      <c r="W125"/>
      <c r="Z125"/>
      <c r="AA125"/>
      <c r="AD125"/>
    </row>
    <row r="126" spans="11:30" ht="18" customHeight="1">
      <c r="K126" t="str">
        <f>IF(OR($I126="Čaká na integráciu",$J126="Integrácia"),"ÁNO","")</f>
        <v/>
      </c>
      <c r="L126" t="str">
        <f>IF(OR($I126="Čaká na biznis",$J126="Biznis",$J126="Švédsky biznis"),"ÁNO","")</f>
        <v/>
      </c>
      <c r="N126" s="2"/>
      <c r="O126" s="3"/>
      <c r="Q126"/>
      <c r="R126" s="3"/>
      <c r="S126" s="3"/>
      <c r="T126"/>
      <c r="U126"/>
      <c r="V126"/>
      <c r="W126"/>
      <c r="Z126"/>
      <c r="AA126"/>
      <c r="AD126"/>
    </row>
    <row r="127" spans="11:30" ht="18" customHeight="1">
      <c r="K127" t="str">
        <f>IF(OR($I127="Čaká na integráciu",$J127="Integrácia"),"ÁNO","")</f>
        <v/>
      </c>
      <c r="L127" t="str">
        <f>IF(OR($I127="Čaká na biznis",$J127="Biznis",$J127="Švédsky biznis"),"ÁNO","")</f>
        <v/>
      </c>
      <c r="N127" s="2"/>
      <c r="O127" s="3"/>
      <c r="Q127"/>
      <c r="R127" s="3"/>
      <c r="S127" s="3"/>
      <c r="T127"/>
      <c r="U127"/>
      <c r="V127"/>
      <c r="W127"/>
      <c r="Z127"/>
      <c r="AA127"/>
      <c r="AD127"/>
    </row>
    <row r="128" spans="11:30" ht="18" customHeight="1">
      <c r="K128" t="str">
        <f>IF(OR($I128="Čaká na integráciu",$J128="Integrácia"),"ÁNO","")</f>
        <v/>
      </c>
      <c r="L128" t="str">
        <f>IF(OR($I128="Čaká na biznis",$J128="Biznis",$J128="Švédsky biznis"),"ÁNO","")</f>
        <v/>
      </c>
      <c r="N128" s="2"/>
      <c r="O128" s="3"/>
      <c r="Q128"/>
      <c r="R128" s="3"/>
      <c r="S128" s="3"/>
      <c r="T128"/>
      <c r="U128"/>
      <c r="V128"/>
      <c r="W128"/>
      <c r="Z128"/>
      <c r="AA128"/>
      <c r="AD128"/>
    </row>
    <row r="129" spans="11:30" ht="18" customHeight="1">
      <c r="K129" t="str">
        <f>IF(OR($I129="Čaká na integráciu",$J129="Integrácia"),"ÁNO","")</f>
        <v/>
      </c>
      <c r="L129" t="str">
        <f>IF(OR($I129="Čaká na biznis",$J129="Biznis",$J129="Švédsky biznis"),"ÁNO","")</f>
        <v/>
      </c>
      <c r="N129" s="2"/>
      <c r="O129" s="3"/>
      <c r="Q129"/>
      <c r="R129" s="3"/>
      <c r="S129" s="3"/>
      <c r="T129"/>
      <c r="U129"/>
      <c r="V129"/>
      <c r="W129"/>
      <c r="Z129"/>
      <c r="AA129"/>
      <c r="AD129"/>
    </row>
    <row r="130" spans="11:30" ht="18" customHeight="1">
      <c r="K130" t="str">
        <f>IF(OR($I130="Čaká na integráciu",$J130="Integrácia"),"ÁNO","")</f>
        <v/>
      </c>
      <c r="L130" t="str">
        <f>IF(OR($I130="Čaká na biznis",$J130="Biznis",$J130="Švédsky biznis"),"ÁNO","")</f>
        <v/>
      </c>
      <c r="N130" s="2"/>
      <c r="O130" s="3"/>
      <c r="Q130"/>
      <c r="R130" s="3"/>
      <c r="S130" s="3"/>
      <c r="T130"/>
      <c r="U130"/>
      <c r="V130"/>
      <c r="W130"/>
      <c r="Z130"/>
      <c r="AA130"/>
      <c r="AD130"/>
    </row>
    <row r="131" spans="11:30" ht="18" customHeight="1">
      <c r="K131" t="str">
        <f>IF(OR($I131="Čaká na integráciu",$J131="Integrácia"),"ÁNO","")</f>
        <v/>
      </c>
      <c r="L131" t="str">
        <f>IF(OR($I131="Čaká na biznis",$J131="Biznis",$J131="Švédsky biznis"),"ÁNO","")</f>
        <v/>
      </c>
      <c r="N131" s="2"/>
      <c r="O131" s="3"/>
      <c r="Q131"/>
      <c r="R131" s="3"/>
      <c r="S131" s="3"/>
      <c r="T131"/>
      <c r="U131"/>
      <c r="V131"/>
      <c r="W131"/>
      <c r="Z131"/>
      <c r="AA131"/>
      <c r="AD131"/>
    </row>
    <row r="132" spans="11:30" ht="18" customHeight="1">
      <c r="K132" t="str">
        <f>IF(OR($I132="Čaká na integráciu",$J132="Integrácia"),"ÁNO","")</f>
        <v/>
      </c>
      <c r="L132" t="str">
        <f>IF(OR($I132="Čaká na biznis",$J132="Biznis",$J132="Švédsky biznis"),"ÁNO","")</f>
        <v/>
      </c>
      <c r="N132" s="2"/>
      <c r="O132" s="3"/>
      <c r="Q132"/>
      <c r="R132" s="3"/>
      <c r="S132" s="3"/>
      <c r="T132"/>
      <c r="U132"/>
      <c r="V132"/>
      <c r="W132"/>
      <c r="Z132"/>
      <c r="AA132"/>
      <c r="AD132"/>
    </row>
    <row r="133" spans="11:30" ht="18" customHeight="1">
      <c r="K133" t="str">
        <f>IF(OR($I133="Čaká na integráciu",$J133="Integrácia"),"ÁNO","")</f>
        <v/>
      </c>
      <c r="L133" t="str">
        <f>IF(OR($I133="Čaká na biznis",$J133="Biznis",$J133="Švédsky biznis"),"ÁNO","")</f>
        <v/>
      </c>
      <c r="N133" s="2"/>
      <c r="O133" s="3"/>
      <c r="Q133"/>
      <c r="R133" s="3"/>
      <c r="S133" s="3"/>
      <c r="T133"/>
      <c r="U133"/>
      <c r="V133"/>
      <c r="W133"/>
      <c r="Z133"/>
      <c r="AA133"/>
      <c r="AD133"/>
    </row>
    <row r="134" spans="11:30" ht="18" customHeight="1">
      <c r="K134" t="str">
        <f>IF(OR($I134="Čaká na integráciu",$J134="Integrácia"),"ÁNO","")</f>
        <v/>
      </c>
      <c r="L134" t="str">
        <f>IF(OR($I134="Čaká na biznis",$J134="Biznis",$J134="Švédsky biznis"),"ÁNO","")</f>
        <v/>
      </c>
      <c r="N134" s="2"/>
      <c r="O134" s="3"/>
      <c r="Q134"/>
      <c r="R134" s="3"/>
      <c r="S134" s="3"/>
      <c r="T134"/>
      <c r="U134"/>
      <c r="V134"/>
      <c r="W134"/>
      <c r="Z134"/>
      <c r="AA134"/>
      <c r="AD134"/>
    </row>
    <row r="135" spans="11:30" ht="18" customHeight="1">
      <c r="K135" t="str">
        <f>IF(OR($I135="Čaká na integráciu",$J135="Integrácia"),"ÁNO","")</f>
        <v/>
      </c>
      <c r="L135" t="str">
        <f>IF(OR($I135="Čaká na biznis",$J135="Biznis",$J135="Švédsky biznis"),"ÁNO","")</f>
        <v/>
      </c>
      <c r="N135" s="2"/>
      <c r="O135" s="3"/>
      <c r="Q135"/>
      <c r="R135" s="3"/>
      <c r="S135" s="3"/>
      <c r="T135"/>
      <c r="U135"/>
      <c r="V135"/>
      <c r="W135"/>
      <c r="Z135"/>
      <c r="AA135"/>
      <c r="AD135"/>
    </row>
    <row r="136" spans="11:30" ht="18" customHeight="1">
      <c r="K136" t="str">
        <f>IF(OR($I136="Čaká na integráciu",$J136="Integrácia"),"ÁNO","")</f>
        <v/>
      </c>
      <c r="L136" t="str">
        <f>IF(OR($I136="Čaká na biznis",$J136="Biznis",$J136="Švédsky biznis"),"ÁNO","")</f>
        <v/>
      </c>
      <c r="N136" s="2"/>
      <c r="O136" s="3"/>
      <c r="Q136"/>
      <c r="R136" s="3"/>
      <c r="S136" s="3"/>
      <c r="T136"/>
      <c r="U136"/>
      <c r="V136"/>
      <c r="W136"/>
      <c r="Z136"/>
      <c r="AA136"/>
      <c r="AD136"/>
    </row>
    <row r="137" spans="11:30" ht="18" customHeight="1">
      <c r="K137" t="str">
        <f>IF(OR($I137="Čaká na integráciu",$J137="Integrácia"),"ÁNO","")</f>
        <v/>
      </c>
      <c r="L137" t="str">
        <f>IF(OR($I137="Čaká na biznis",$J137="Biznis",$J137="Švédsky biznis"),"ÁNO","")</f>
        <v/>
      </c>
      <c r="N137" s="2"/>
      <c r="O137" s="3"/>
      <c r="Q137"/>
      <c r="R137" s="3"/>
      <c r="S137" s="3"/>
      <c r="T137"/>
      <c r="U137"/>
      <c r="V137"/>
      <c r="W137"/>
      <c r="Z137"/>
      <c r="AA137"/>
      <c r="AD137"/>
    </row>
    <row r="138" spans="11:30" ht="18" customHeight="1">
      <c r="K138" t="str">
        <f>IF(OR($I138="Čaká na integráciu",$J138="Integrácia"),"ÁNO","")</f>
        <v/>
      </c>
      <c r="L138" t="str">
        <f>IF(OR($I138="Čaká na biznis",$J138="Biznis",$J138="Švédsky biznis"),"ÁNO","")</f>
        <v/>
      </c>
      <c r="N138" s="2"/>
      <c r="O138" s="3"/>
      <c r="Q138"/>
      <c r="R138" s="3"/>
      <c r="S138" s="3"/>
      <c r="T138"/>
      <c r="U138"/>
      <c r="V138"/>
      <c r="W138"/>
      <c r="Z138"/>
      <c r="AA138"/>
      <c r="AD138"/>
    </row>
    <row r="139" spans="11:30" ht="18" customHeight="1">
      <c r="K139" t="str">
        <f>IF(OR($I139="Čaká na integráciu",$J139="Integrácia"),"ÁNO","")</f>
        <v/>
      </c>
      <c r="L139" t="str">
        <f>IF(OR($I139="Čaká na biznis",$J139="Biznis",$J139="Švédsky biznis"),"ÁNO","")</f>
        <v/>
      </c>
      <c r="N139" s="2"/>
      <c r="O139" s="3"/>
      <c r="Q139"/>
      <c r="R139" s="3"/>
      <c r="S139" s="3"/>
      <c r="T139"/>
      <c r="U139"/>
      <c r="V139"/>
      <c r="W139"/>
      <c r="Z139"/>
      <c r="AA139"/>
      <c r="AD139"/>
    </row>
    <row r="140" spans="11:30" ht="18" customHeight="1">
      <c r="K140" t="str">
        <f>IF(OR($I140="Čaká na integráciu",$J140="Integrácia"),"ÁNO","")</f>
        <v/>
      </c>
      <c r="L140" t="str">
        <f>IF(OR($I140="Čaká na biznis",$J140="Biznis",$J140="Švédsky biznis"),"ÁNO","")</f>
        <v/>
      </c>
      <c r="N140" s="2"/>
      <c r="O140" s="3"/>
      <c r="Q140"/>
      <c r="R140" s="3"/>
      <c r="S140" s="3"/>
      <c r="T140"/>
      <c r="U140"/>
      <c r="V140"/>
      <c r="W140"/>
      <c r="Z140"/>
      <c r="AA140"/>
      <c r="AD140"/>
    </row>
    <row r="141" spans="11:30" ht="18" customHeight="1">
      <c r="K141" t="str">
        <f>IF(OR($I141="Čaká na integráciu",$J141="Integrácia"),"ÁNO","")</f>
        <v/>
      </c>
      <c r="L141" t="str">
        <f>IF(OR($I141="Čaká na biznis",$J141="Biznis",$J141="Švédsky biznis"),"ÁNO","")</f>
        <v/>
      </c>
      <c r="N141" s="2"/>
      <c r="O141" s="3"/>
      <c r="Q141"/>
      <c r="R141" s="3"/>
      <c r="S141" s="3"/>
      <c r="T141"/>
      <c r="U141"/>
      <c r="V141"/>
      <c r="W141"/>
      <c r="Z141"/>
      <c r="AA141"/>
      <c r="AD141"/>
    </row>
    <row r="142" spans="11:30" ht="18" customHeight="1">
      <c r="K142" t="str">
        <f>IF(OR($I142="Čaká na integráciu",$J142="Integrácia"),"ÁNO","")</f>
        <v/>
      </c>
      <c r="L142" t="str">
        <f>IF(OR($I142="Čaká na biznis",$J142="Biznis",$J142="Švédsky biznis"),"ÁNO","")</f>
        <v/>
      </c>
      <c r="N142" s="2"/>
      <c r="O142" s="3"/>
      <c r="Q142"/>
      <c r="R142" s="3"/>
      <c r="S142" s="3"/>
      <c r="T142"/>
      <c r="U142"/>
      <c r="V142"/>
      <c r="W142"/>
      <c r="Z142"/>
      <c r="AA142"/>
      <c r="AD142"/>
    </row>
    <row r="143" spans="11:30" ht="18" customHeight="1">
      <c r="K143" t="str">
        <f>IF(OR($I143="Čaká na integráciu",$J143="Integrácia"),"ÁNO","")</f>
        <v/>
      </c>
      <c r="L143" t="str">
        <f>IF(OR($I143="Čaká na biznis",$J143="Biznis",$J143="Švédsky biznis"),"ÁNO","")</f>
        <v/>
      </c>
      <c r="N143" s="2"/>
      <c r="O143" s="3"/>
      <c r="Q143"/>
      <c r="R143" s="3"/>
      <c r="S143" s="3"/>
      <c r="T143"/>
      <c r="U143"/>
      <c r="V143"/>
      <c r="W143"/>
      <c r="Z143"/>
      <c r="AA143"/>
      <c r="AD143"/>
    </row>
    <row r="144" spans="11:30" ht="18" customHeight="1">
      <c r="K144" t="str">
        <f>IF(OR($I144="Čaká na integráciu",$J144="Integrácia"),"ÁNO","")</f>
        <v/>
      </c>
      <c r="L144" t="str">
        <f>IF(OR($I144="Čaká na biznis",$J144="Biznis",$J144="Švédsky biznis"),"ÁNO","")</f>
        <v/>
      </c>
      <c r="N144" s="2"/>
      <c r="O144" s="3"/>
      <c r="Q144"/>
      <c r="R144" s="3"/>
      <c r="S144" s="3"/>
      <c r="T144"/>
      <c r="U144"/>
      <c r="V144"/>
      <c r="W144"/>
      <c r="Z144"/>
      <c r="AA144"/>
      <c r="AD144"/>
    </row>
    <row r="145" spans="11:30" ht="18" customHeight="1">
      <c r="K145" t="str">
        <f>IF(OR($I145="Čaká na integráciu",$J145="Integrácia"),"ÁNO","")</f>
        <v/>
      </c>
      <c r="L145" t="str">
        <f>IF(OR($I145="Čaká na biznis",$J145="Biznis",$J145="Švédsky biznis"),"ÁNO","")</f>
        <v/>
      </c>
      <c r="N145" s="2"/>
      <c r="O145" s="3"/>
      <c r="Q145"/>
      <c r="R145" s="3"/>
      <c r="S145" s="3"/>
      <c r="T145"/>
      <c r="U145"/>
      <c r="V145"/>
      <c r="W145"/>
      <c r="Z145"/>
      <c r="AA145"/>
      <c r="AD145"/>
    </row>
    <row r="146" spans="11:30" ht="18" customHeight="1">
      <c r="K146" t="str">
        <f>IF(OR($I146="Čaká na integráciu",$J146="Integrácia"),"ÁNO","")</f>
        <v/>
      </c>
      <c r="L146" t="str">
        <f>IF(OR($I146="Čaká na biznis",$J146="Biznis",$J146="Švédsky biznis"),"ÁNO","")</f>
        <v/>
      </c>
      <c r="N146" s="2"/>
      <c r="O146" s="3"/>
      <c r="Q146"/>
      <c r="R146" s="3"/>
      <c r="S146" s="3"/>
      <c r="T146"/>
      <c r="U146"/>
      <c r="V146"/>
      <c r="W146"/>
      <c r="Z146"/>
      <c r="AA146"/>
      <c r="AD146"/>
    </row>
    <row r="147" spans="11:30" ht="18" customHeight="1">
      <c r="K147" t="str">
        <f>IF(OR($I147="Čaká na integráciu",$J147="Integrácia"),"ÁNO","")</f>
        <v/>
      </c>
      <c r="L147" t="str">
        <f>IF(OR($I147="Čaká na biznis",$J147="Biznis",$J147="Švédsky biznis"),"ÁNO","")</f>
        <v/>
      </c>
      <c r="N147" s="2"/>
      <c r="O147" s="3"/>
      <c r="Q147"/>
      <c r="R147" s="3"/>
      <c r="S147" s="3"/>
      <c r="T147"/>
      <c r="U147"/>
      <c r="V147"/>
      <c r="W147"/>
      <c r="Z147"/>
      <c r="AA147"/>
      <c r="AD147"/>
    </row>
    <row r="148" spans="11:30" ht="18" customHeight="1">
      <c r="K148" t="str">
        <f>IF(OR($I148="Čaká na integráciu",$J148="Integrácia"),"ÁNO","")</f>
        <v/>
      </c>
      <c r="L148" t="str">
        <f>IF(OR($I148="Čaká na biznis",$J148="Biznis",$J148="Švédsky biznis"),"ÁNO","")</f>
        <v/>
      </c>
      <c r="N148" s="2"/>
      <c r="O148" s="3"/>
      <c r="Q148"/>
      <c r="R148" s="3"/>
      <c r="S148" s="3"/>
      <c r="T148"/>
      <c r="U148"/>
      <c r="V148"/>
      <c r="W148"/>
      <c r="Z148"/>
      <c r="AA148"/>
      <c r="AD148"/>
    </row>
    <row r="149" spans="11:30" ht="18" customHeight="1">
      <c r="K149" t="str">
        <f>IF(OR($I149="Čaká na integráciu",$J149="Integrácia"),"ÁNO","")</f>
        <v/>
      </c>
      <c r="L149" t="str">
        <f>IF(OR($I149="Čaká na biznis",$J149="Biznis",$J149="Švédsky biznis"),"ÁNO","")</f>
        <v/>
      </c>
      <c r="N149" s="2"/>
      <c r="O149" s="3"/>
      <c r="Q149"/>
      <c r="R149" s="3"/>
      <c r="S149" s="3"/>
      <c r="T149"/>
      <c r="U149"/>
      <c r="V149"/>
      <c r="W149"/>
      <c r="Z149"/>
      <c r="AA149"/>
      <c r="AD149"/>
    </row>
    <row r="150" spans="11:30" ht="18" customHeight="1">
      <c r="K150" t="str">
        <f>IF(OR($I150="Čaká na integráciu",$J150="Integrácia"),"ÁNO","")</f>
        <v/>
      </c>
      <c r="L150" t="str">
        <f>IF(OR($I150="Čaká na biznis",$J150="Biznis",$J150="Švédsky biznis"),"ÁNO","")</f>
        <v/>
      </c>
      <c r="N150" s="2"/>
      <c r="O150" s="3"/>
      <c r="Q150"/>
      <c r="R150" s="3"/>
      <c r="S150" s="3"/>
      <c r="T150"/>
      <c r="U150"/>
      <c r="V150"/>
      <c r="W150"/>
      <c r="Z150"/>
      <c r="AA150"/>
      <c r="AD150"/>
    </row>
    <row r="151" spans="11:30" ht="18" customHeight="1">
      <c r="K151" t="str">
        <f>IF(OR($I151="Čaká na integráciu",$J151="Integrácia"),"ÁNO","")</f>
        <v/>
      </c>
      <c r="L151" t="str">
        <f>IF(OR($I151="Čaká na biznis",$J151="Biznis",$J151="Švédsky biznis"),"ÁNO","")</f>
        <v/>
      </c>
      <c r="N151" s="2"/>
      <c r="O151" s="3"/>
      <c r="Q151"/>
      <c r="R151" s="3"/>
      <c r="S151" s="3"/>
      <c r="T151"/>
      <c r="U151"/>
      <c r="V151"/>
      <c r="W151"/>
      <c r="Z151"/>
      <c r="AA151"/>
      <c r="AD151"/>
    </row>
    <row r="152" spans="11:30" ht="18" customHeight="1">
      <c r="K152" t="str">
        <f>IF(OR($I152="Čaká na integráciu",$J152="Integrácia"),"ÁNO","")</f>
        <v/>
      </c>
      <c r="L152" t="str">
        <f>IF(OR($I152="Čaká na biznis",$J152="Biznis",$J152="Švédsky biznis"),"ÁNO","")</f>
        <v/>
      </c>
      <c r="N152" s="2"/>
      <c r="O152" s="3"/>
      <c r="Q152"/>
      <c r="R152" s="3"/>
      <c r="S152" s="3"/>
      <c r="T152"/>
      <c r="U152"/>
      <c r="V152"/>
      <c r="W152"/>
      <c r="Z152"/>
      <c r="AA152"/>
      <c r="AD152"/>
    </row>
    <row r="153" spans="11:30" ht="18" customHeight="1">
      <c r="K153" t="str">
        <f>IF(OR($I153="Čaká na integráciu",$J153="Integrácia"),"ÁNO","")</f>
        <v/>
      </c>
      <c r="L153" t="str">
        <f>IF(OR($I153="Čaká na biznis",$J153="Biznis",$J153="Švédsky biznis"),"ÁNO","")</f>
        <v/>
      </c>
      <c r="N153" s="2"/>
      <c r="O153" s="3"/>
      <c r="Q153"/>
      <c r="R153" s="3"/>
      <c r="S153" s="3"/>
      <c r="T153"/>
      <c r="U153"/>
      <c r="V153"/>
      <c r="W153"/>
      <c r="Z153"/>
      <c r="AA153"/>
      <c r="AD153"/>
    </row>
    <row r="154" spans="11:30" ht="18" customHeight="1">
      <c r="K154" t="str">
        <f>IF(OR($I154="Čaká na integráciu",$J154="Integrácia"),"ÁNO","")</f>
        <v/>
      </c>
      <c r="L154" t="str">
        <f>IF(OR($I154="Čaká na biznis",$J154="Biznis",$J154="Švédsky biznis"),"ÁNO","")</f>
        <v/>
      </c>
      <c r="N154" s="2"/>
      <c r="O154" s="3"/>
      <c r="Q154"/>
      <c r="R154" s="3"/>
      <c r="S154" s="3"/>
      <c r="T154"/>
      <c r="U154"/>
      <c r="V154"/>
      <c r="W154"/>
      <c r="Z154"/>
      <c r="AA154"/>
      <c r="AD154"/>
    </row>
    <row r="155" spans="11:30" ht="18" customHeight="1">
      <c r="K155" t="str">
        <f>IF(OR($I155="Čaká na integráciu",$J155="Integrácia"),"ÁNO","")</f>
        <v/>
      </c>
      <c r="L155" t="str">
        <f>IF(OR($I155="Čaká na biznis",$J155="Biznis",$J155="Švédsky biznis"),"ÁNO","")</f>
        <v/>
      </c>
      <c r="N155" s="2"/>
      <c r="O155" s="3"/>
      <c r="Q155"/>
      <c r="R155" s="3"/>
      <c r="S155" s="3"/>
      <c r="T155"/>
      <c r="U155"/>
      <c r="V155"/>
      <c r="W155"/>
      <c r="Z155"/>
      <c r="AA155"/>
      <c r="AD155"/>
    </row>
    <row r="156" spans="11:30" ht="18" customHeight="1">
      <c r="K156" t="str">
        <f>IF(OR($I156="Čaká na integráciu",$J156="Integrácia"),"ÁNO","")</f>
        <v/>
      </c>
      <c r="L156" t="str">
        <f>IF(OR($I156="Čaká na biznis",$J156="Biznis",$J156="Švédsky biznis"),"ÁNO","")</f>
        <v/>
      </c>
      <c r="N156" s="2"/>
      <c r="O156" s="3"/>
      <c r="Q156"/>
      <c r="R156" s="3"/>
      <c r="S156" s="3"/>
      <c r="T156"/>
      <c r="U156"/>
      <c r="V156"/>
      <c r="W156"/>
      <c r="Z156"/>
      <c r="AA156"/>
      <c r="AD156"/>
    </row>
    <row r="157" spans="11:30" ht="18" customHeight="1">
      <c r="K157" t="str">
        <f>IF(OR($I157="Čaká na integráciu",$J157="Integrácia"),"ÁNO","")</f>
        <v/>
      </c>
      <c r="L157" t="str">
        <f>IF(OR($I157="Čaká na biznis",$J157="Biznis",$J157="Švédsky biznis"),"ÁNO","")</f>
        <v/>
      </c>
      <c r="N157" s="2"/>
      <c r="O157" s="3"/>
      <c r="Q157"/>
      <c r="R157" s="3"/>
      <c r="S157" s="3"/>
      <c r="T157"/>
      <c r="U157"/>
      <c r="V157"/>
      <c r="W157"/>
      <c r="Z157"/>
      <c r="AA157"/>
      <c r="AD157"/>
    </row>
    <row r="158" spans="11:30" ht="18" customHeight="1">
      <c r="K158" t="str">
        <f>IF(OR($I158="Čaká na integráciu",$J158="Integrácia"),"ÁNO","")</f>
        <v/>
      </c>
      <c r="L158" t="str">
        <f>IF(OR($I158="Čaká na biznis",$J158="Biznis",$J158="Švédsky biznis"),"ÁNO","")</f>
        <v/>
      </c>
      <c r="N158" s="2"/>
      <c r="O158" s="3"/>
      <c r="Q158"/>
      <c r="R158" s="3"/>
      <c r="S158" s="3"/>
      <c r="T158"/>
      <c r="U158"/>
      <c r="V158"/>
      <c r="W158"/>
      <c r="Z158"/>
      <c r="AA158"/>
      <c r="AD158"/>
    </row>
    <row r="159" spans="11:30" ht="18" customHeight="1">
      <c r="K159" t="str">
        <f>IF(OR($I159="Čaká na integráciu",$J159="Integrácia"),"ÁNO","")</f>
        <v/>
      </c>
      <c r="L159" t="str">
        <f>IF(OR($I159="Čaká na biznis",$J159="Biznis",$J159="Švédsky biznis"),"ÁNO","")</f>
        <v/>
      </c>
      <c r="N159" s="2"/>
      <c r="O159" s="3"/>
      <c r="Q159"/>
      <c r="R159" s="3"/>
      <c r="S159" s="3"/>
      <c r="T159"/>
      <c r="U159"/>
      <c r="V159"/>
      <c r="W159"/>
      <c r="Z159"/>
      <c r="AA159"/>
      <c r="AD159"/>
    </row>
    <row r="160" spans="11:30" ht="18" customHeight="1">
      <c r="K160" t="str">
        <f>IF(OR($I160="Čaká na integráciu",$J160="Integrácia"),"ÁNO","")</f>
        <v/>
      </c>
      <c r="L160" t="str">
        <f>IF(OR($I160="Čaká na biznis",$J160="Biznis",$J160="Švédsky biznis"),"ÁNO","")</f>
        <v/>
      </c>
      <c r="N160" s="2"/>
      <c r="O160" s="3"/>
      <c r="Q160"/>
      <c r="R160" s="3"/>
      <c r="S160" s="3"/>
      <c r="T160"/>
      <c r="U160"/>
      <c r="V160"/>
      <c r="W160"/>
      <c r="Z160"/>
      <c r="AA160"/>
      <c r="AD160"/>
    </row>
    <row r="161" spans="11:30" ht="18" customHeight="1">
      <c r="K161" t="str">
        <f>IF(OR($I161="Čaká na integráciu",$J161="Integrácia"),"ÁNO","")</f>
        <v/>
      </c>
      <c r="L161" t="str">
        <f>IF(OR($I161="Čaká na biznis",$J161="Biznis",$J161="Švédsky biznis"),"ÁNO","")</f>
        <v/>
      </c>
      <c r="N161" s="2"/>
      <c r="O161" s="3"/>
      <c r="Q161"/>
      <c r="R161" s="3"/>
      <c r="S161" s="3"/>
      <c r="T161"/>
      <c r="U161"/>
      <c r="V161"/>
      <c r="W161"/>
      <c r="Z161"/>
      <c r="AA161"/>
      <c r="AD161"/>
    </row>
    <row r="162" spans="11:30" ht="18" customHeight="1">
      <c r="K162" t="str">
        <f>IF(OR($I162="Čaká na integráciu",$J162="Integrácia"),"ÁNO","")</f>
        <v/>
      </c>
      <c r="L162" t="str">
        <f>IF(OR($I162="Čaká na biznis",$J162="Biznis",$J162="Švédsky biznis"),"ÁNO","")</f>
        <v/>
      </c>
      <c r="N162" s="2"/>
      <c r="O162" s="3"/>
      <c r="Q162"/>
      <c r="R162" s="3"/>
      <c r="S162" s="3"/>
      <c r="T162"/>
      <c r="U162"/>
      <c r="V162"/>
      <c r="W162"/>
      <c r="Z162"/>
      <c r="AA162"/>
      <c r="AD162"/>
    </row>
    <row r="163" spans="11:30" ht="18" customHeight="1">
      <c r="K163" t="str">
        <f>IF(OR($I163="Čaká na integráciu",$J163="Integrácia"),"ÁNO","")</f>
        <v/>
      </c>
      <c r="L163" t="str">
        <f>IF(OR($I163="Čaká na biznis",$J163="Biznis",$J163="Švédsky biznis"),"ÁNO","")</f>
        <v/>
      </c>
      <c r="N163" s="2"/>
      <c r="O163" s="3"/>
      <c r="Q163"/>
      <c r="R163" s="3"/>
      <c r="S163" s="3"/>
      <c r="T163"/>
      <c r="U163"/>
      <c r="V163"/>
      <c r="W163"/>
      <c r="Z163"/>
      <c r="AA163"/>
      <c r="AD163"/>
    </row>
    <row r="164" spans="11:30" ht="18" customHeight="1">
      <c r="K164" t="str">
        <f>IF(OR($I164="Čaká na integráciu",$J164="Integrácia"),"ÁNO","")</f>
        <v/>
      </c>
      <c r="L164" t="str">
        <f>IF(OR($I164="Čaká na biznis",$J164="Biznis",$J164="Švédsky biznis"),"ÁNO","")</f>
        <v/>
      </c>
      <c r="N164" s="2"/>
      <c r="O164" s="3"/>
      <c r="Q164"/>
      <c r="R164" s="3"/>
      <c r="S164" s="3"/>
      <c r="T164"/>
      <c r="U164"/>
      <c r="V164"/>
      <c r="W164"/>
      <c r="Z164"/>
      <c r="AA164"/>
      <c r="AD164"/>
    </row>
    <row r="165" spans="11:30" ht="18" customHeight="1">
      <c r="K165" t="str">
        <f>IF(OR($I165="Čaká na integráciu",$J165="Integrácia"),"ÁNO","")</f>
        <v/>
      </c>
      <c r="L165" t="str">
        <f>IF(OR($I165="Čaká na biznis",$J165="Biznis",$J165="Švédsky biznis"),"ÁNO","")</f>
        <v/>
      </c>
      <c r="N165" s="2"/>
      <c r="O165" s="3"/>
      <c r="Q165"/>
      <c r="R165" s="3"/>
      <c r="S165" s="3"/>
      <c r="T165"/>
      <c r="U165"/>
      <c r="V165"/>
      <c r="W165"/>
      <c r="Z165"/>
      <c r="AA165"/>
      <c r="AD165"/>
    </row>
    <row r="166" spans="11:30" ht="18" customHeight="1">
      <c r="K166" t="str">
        <f>IF(OR($I166="Čaká na integráciu",$J166="Integrácia"),"ÁNO","")</f>
        <v/>
      </c>
      <c r="L166" t="str">
        <f>IF(OR($I166="Čaká na biznis",$J166="Biznis",$J166="Švédsky biznis"),"ÁNO","")</f>
        <v/>
      </c>
      <c r="N166" s="2"/>
      <c r="O166" s="3"/>
      <c r="Q166"/>
      <c r="R166" s="3"/>
      <c r="S166" s="3"/>
      <c r="T166"/>
      <c r="U166"/>
      <c r="V166"/>
      <c r="W166"/>
      <c r="Z166"/>
      <c r="AA166"/>
      <c r="AD166"/>
    </row>
    <row r="167" spans="11:30" ht="18" customHeight="1">
      <c r="K167" t="str">
        <f>IF(OR($I167="Čaká na integráciu",$J167="Integrácia"),"ÁNO","")</f>
        <v/>
      </c>
      <c r="L167" t="str">
        <f>IF(OR($I167="Čaká na biznis",$J167="Biznis",$J167="Švédsky biznis"),"ÁNO","")</f>
        <v/>
      </c>
      <c r="N167" s="2"/>
      <c r="O167" s="3"/>
      <c r="Q167"/>
      <c r="R167" s="3"/>
      <c r="S167" s="3"/>
      <c r="T167"/>
      <c r="U167"/>
      <c r="V167"/>
      <c r="W167"/>
      <c r="Z167"/>
      <c r="AA167"/>
      <c r="AD167"/>
    </row>
    <row r="168" spans="11:30" ht="18" customHeight="1">
      <c r="K168" t="str">
        <f>IF(OR($I168="Čaká na integráciu",$J168="Integrácia"),"ÁNO","")</f>
        <v/>
      </c>
      <c r="L168" t="str">
        <f>IF(OR($I168="Čaká na biznis",$J168="Biznis",$J168="Švédsky biznis"),"ÁNO","")</f>
        <v/>
      </c>
      <c r="N168" s="2"/>
      <c r="O168" s="3"/>
      <c r="Q168"/>
      <c r="R168" s="3"/>
      <c r="S168" s="3"/>
      <c r="T168"/>
      <c r="U168"/>
      <c r="V168"/>
      <c r="W168"/>
      <c r="Z168"/>
      <c r="AA168"/>
      <c r="AD168"/>
    </row>
    <row r="169" spans="11:30" ht="18" customHeight="1">
      <c r="K169" t="str">
        <f>IF(OR($I169="Čaká na integráciu",$J169="Integrácia"),"ÁNO","")</f>
        <v/>
      </c>
      <c r="L169" t="str">
        <f>IF(OR($I169="Čaká na biznis",$J169="Biznis",$J169="Švédsky biznis"),"ÁNO","")</f>
        <v/>
      </c>
      <c r="N169" s="2"/>
      <c r="O169" s="3"/>
      <c r="Q169"/>
      <c r="R169" s="3"/>
      <c r="S169" s="3"/>
      <c r="T169"/>
      <c r="U169"/>
      <c r="V169"/>
      <c r="W169"/>
      <c r="Z169"/>
      <c r="AA169"/>
      <c r="AD169"/>
    </row>
    <row r="170" spans="11:30" ht="18" customHeight="1">
      <c r="K170" t="str">
        <f>IF(OR($I170="Čaká na integráciu",$J170="Integrácia"),"ÁNO","")</f>
        <v/>
      </c>
      <c r="L170" t="str">
        <f>IF(OR($I170="Čaká na biznis",$J170="Biznis",$J170="Švédsky biznis"),"ÁNO","")</f>
        <v/>
      </c>
      <c r="N170" s="2"/>
      <c r="O170" s="3"/>
      <c r="Q170"/>
      <c r="R170" s="3"/>
      <c r="S170" s="3"/>
      <c r="T170"/>
      <c r="U170"/>
      <c r="V170"/>
      <c r="W170"/>
      <c r="Z170"/>
      <c r="AA170"/>
      <c r="AD170"/>
    </row>
    <row r="171" spans="11:30" ht="18" customHeight="1">
      <c r="K171" t="str">
        <f>IF(OR($I171="Čaká na integráciu",$J171="Integrácia"),"ÁNO","")</f>
        <v/>
      </c>
      <c r="L171" t="str">
        <f>IF(OR($I171="Čaká na biznis",$J171="Biznis",$J171="Švédsky biznis"),"ÁNO","")</f>
        <v/>
      </c>
      <c r="N171" s="2"/>
      <c r="O171" s="3"/>
      <c r="Q171"/>
      <c r="R171" s="3"/>
      <c r="S171" s="3"/>
      <c r="T171"/>
      <c r="U171"/>
      <c r="V171"/>
      <c r="W171"/>
      <c r="Z171"/>
      <c r="AA171"/>
      <c r="AD171"/>
    </row>
    <row r="172" spans="11:30" ht="18" customHeight="1">
      <c r="K172" t="str">
        <f>IF(OR($I172="Čaká na integráciu",$J172="Integrácia"),"ÁNO","")</f>
        <v/>
      </c>
      <c r="L172" t="str">
        <f>IF(OR($I172="Čaká na biznis",$J172="Biznis",$J172="Švédsky biznis"),"ÁNO","")</f>
        <v/>
      </c>
      <c r="N172" s="2"/>
      <c r="O172" s="3"/>
      <c r="Q172"/>
      <c r="R172" s="3"/>
      <c r="S172" s="3"/>
      <c r="T172"/>
      <c r="U172"/>
      <c r="V172"/>
      <c r="W172"/>
      <c r="Z172"/>
      <c r="AA172"/>
      <c r="AD172"/>
    </row>
    <row r="173" spans="11:30" ht="18" customHeight="1">
      <c r="K173" t="str">
        <f>IF(OR($I173="Čaká na integráciu",$J173="Integrácia"),"ÁNO","")</f>
        <v/>
      </c>
      <c r="L173" t="str">
        <f>IF(OR($I173="Čaká na biznis",$J173="Biznis",$J173="Švédsky biznis"),"ÁNO","")</f>
        <v/>
      </c>
      <c r="N173" s="2"/>
      <c r="O173" s="3"/>
      <c r="Q173"/>
      <c r="R173" s="3"/>
      <c r="S173" s="3"/>
      <c r="T173"/>
      <c r="U173"/>
      <c r="V173"/>
      <c r="W173"/>
      <c r="Z173"/>
      <c r="AA173"/>
      <c r="AD173"/>
    </row>
    <row r="174" spans="11:30" ht="18" customHeight="1">
      <c r="K174" t="str">
        <f>IF(OR($I174="Čaká na integráciu",$J174="Integrácia"),"ÁNO","")</f>
        <v/>
      </c>
      <c r="L174" t="str">
        <f>IF(OR($I174="Čaká na biznis",$J174="Biznis",$J174="Švédsky biznis"),"ÁNO","")</f>
        <v/>
      </c>
      <c r="N174" s="2"/>
      <c r="O174" s="3"/>
      <c r="Q174"/>
      <c r="R174" s="3"/>
      <c r="S174" s="3"/>
      <c r="T174"/>
      <c r="U174"/>
      <c r="V174"/>
      <c r="W174"/>
      <c r="Z174"/>
      <c r="AA174"/>
      <c r="AD174"/>
    </row>
    <row r="175" spans="11:30" ht="18" customHeight="1">
      <c r="K175" t="str">
        <f>IF(OR($I175="Čaká na integráciu",$J175="Integrácia"),"ÁNO","")</f>
        <v/>
      </c>
      <c r="L175" t="str">
        <f>IF(OR($I175="Čaká na biznis",$J175="Biznis",$J175="Švédsky biznis"),"ÁNO","")</f>
        <v/>
      </c>
      <c r="N175" s="2"/>
      <c r="O175" s="3"/>
      <c r="Q175"/>
      <c r="R175" s="3"/>
      <c r="S175" s="3"/>
      <c r="T175"/>
      <c r="U175"/>
      <c r="V175"/>
      <c r="W175"/>
      <c r="Z175"/>
      <c r="AA175"/>
      <c r="AD175"/>
    </row>
    <row r="176" spans="11:30" ht="18" customHeight="1">
      <c r="K176" t="str">
        <f>IF(OR($I176="Čaká na integráciu",$J176="Integrácia"),"ÁNO","")</f>
        <v/>
      </c>
      <c r="L176" t="str">
        <f>IF(OR($I176="Čaká na biznis",$J176="Biznis",$J176="Švédsky biznis"),"ÁNO","")</f>
        <v/>
      </c>
      <c r="N176" s="2"/>
      <c r="O176" s="3"/>
      <c r="Q176"/>
      <c r="R176" s="3"/>
      <c r="S176" s="3"/>
      <c r="T176"/>
      <c r="U176"/>
      <c r="V176"/>
      <c r="W176"/>
      <c r="Z176"/>
      <c r="AA176"/>
      <c r="AD176"/>
    </row>
    <row r="177" spans="11:30" ht="18" customHeight="1">
      <c r="K177" t="str">
        <f>IF(OR($I177="Čaká na integráciu",$J177="Integrácia"),"ÁNO","")</f>
        <v/>
      </c>
      <c r="L177" t="str">
        <f>IF(OR($I177="Čaká na biznis",$J177="Biznis",$J177="Švédsky biznis"),"ÁNO","")</f>
        <v/>
      </c>
      <c r="N177" s="2"/>
      <c r="O177" s="3"/>
      <c r="Q177"/>
      <c r="R177" s="3"/>
      <c r="S177" s="3"/>
      <c r="T177"/>
      <c r="U177"/>
      <c r="V177"/>
      <c r="W177"/>
      <c r="Z177"/>
      <c r="AA177"/>
      <c r="AD177"/>
    </row>
    <row r="178" spans="11:30" ht="18" customHeight="1">
      <c r="K178" t="str">
        <f>IF(OR($I178="Čaká na integráciu",$J178="Integrácia"),"ÁNO","")</f>
        <v/>
      </c>
      <c r="L178" t="str">
        <f>IF(OR($I178="Čaká na biznis",$J178="Biznis",$J178="Švédsky biznis"),"ÁNO","")</f>
        <v/>
      </c>
      <c r="N178" s="2"/>
      <c r="O178" s="3"/>
      <c r="Q178"/>
      <c r="R178" s="3"/>
      <c r="S178" s="3"/>
      <c r="T178"/>
      <c r="U178"/>
      <c r="V178"/>
      <c r="W178"/>
      <c r="Z178"/>
      <c r="AA178"/>
      <c r="AD178"/>
    </row>
    <row r="179" spans="11:30" ht="18" customHeight="1">
      <c r="K179" t="str">
        <f>IF(OR($I179="Čaká na integráciu",$J179="Integrácia"),"ÁNO","")</f>
        <v/>
      </c>
      <c r="L179" t="str">
        <f>IF(OR($I179="Čaká na biznis",$J179="Biznis",$J179="Švédsky biznis"),"ÁNO","")</f>
        <v/>
      </c>
      <c r="N179" s="2"/>
      <c r="O179" s="3"/>
      <c r="Q179"/>
      <c r="R179" s="3"/>
      <c r="S179" s="3"/>
      <c r="T179"/>
      <c r="U179"/>
      <c r="V179"/>
      <c r="W179"/>
      <c r="Z179"/>
      <c r="AA179"/>
      <c r="AD179"/>
    </row>
    <row r="180" spans="11:30" ht="18" customHeight="1">
      <c r="K180" t="str">
        <f>IF(OR($I180="Čaká na integráciu",$J180="Integrácia"),"ÁNO","")</f>
        <v/>
      </c>
      <c r="L180" t="str">
        <f>IF(OR($I180="Čaká na biznis",$J180="Biznis",$J180="Švédsky biznis"),"ÁNO","")</f>
        <v/>
      </c>
      <c r="N180" s="2"/>
      <c r="O180" s="3"/>
      <c r="Q180"/>
      <c r="R180" s="3"/>
      <c r="S180" s="3"/>
      <c r="T180"/>
      <c r="U180"/>
      <c r="V180"/>
      <c r="W180"/>
      <c r="Z180"/>
      <c r="AA180"/>
      <c r="AD180"/>
    </row>
    <row r="181" spans="11:30" ht="18" customHeight="1">
      <c r="K181" t="str">
        <f>IF(OR($I181="Čaká na integráciu",$J181="Integrácia"),"ÁNO","")</f>
        <v/>
      </c>
      <c r="L181" t="str">
        <f>IF(OR($I181="Čaká na biznis",$J181="Biznis",$J181="Švédsky biznis"),"ÁNO","")</f>
        <v/>
      </c>
      <c r="N181" s="2"/>
      <c r="O181" s="3"/>
      <c r="Q181"/>
      <c r="R181" s="3"/>
      <c r="S181" s="3"/>
      <c r="T181"/>
      <c r="U181"/>
      <c r="V181"/>
      <c r="W181"/>
      <c r="Z181"/>
      <c r="AA181"/>
      <c r="AD181"/>
    </row>
    <row r="182" spans="11:30" ht="18" customHeight="1">
      <c r="K182" t="str">
        <f>IF(OR($I182="Čaká na integráciu",$J182="Integrácia"),"ÁNO","")</f>
        <v/>
      </c>
      <c r="L182" t="str">
        <f>IF(OR($I182="Čaká na biznis",$J182="Biznis",$J182="Švédsky biznis"),"ÁNO","")</f>
        <v/>
      </c>
      <c r="N182" s="2"/>
      <c r="O182" s="3"/>
      <c r="Q182"/>
      <c r="R182" s="3"/>
      <c r="S182" s="3"/>
      <c r="T182"/>
      <c r="U182"/>
      <c r="V182"/>
      <c r="W182"/>
      <c r="Z182"/>
      <c r="AA182"/>
      <c r="AD182"/>
    </row>
    <row r="183" spans="11:30" ht="18" customHeight="1">
      <c r="K183" t="str">
        <f>IF(OR($I183="Čaká na integráciu",$J183="Integrácia"),"ÁNO","")</f>
        <v/>
      </c>
      <c r="L183" t="str">
        <f>IF(OR($I183="Čaká na biznis",$J183="Biznis",$J183="Švédsky biznis"),"ÁNO","")</f>
        <v/>
      </c>
      <c r="N183" s="2"/>
      <c r="O183" s="3"/>
      <c r="Q183"/>
      <c r="R183" s="3"/>
      <c r="S183" s="3"/>
      <c r="T183"/>
      <c r="U183"/>
      <c r="V183"/>
      <c r="W183"/>
      <c r="Z183"/>
      <c r="AA183"/>
      <c r="AD183"/>
    </row>
    <row r="184" spans="11:30" ht="18" customHeight="1">
      <c r="K184" t="str">
        <f>IF(OR($I184="Čaká na integráciu",$J184="Integrácia"),"ÁNO","")</f>
        <v/>
      </c>
      <c r="L184" t="str">
        <f>IF(OR($I184="Čaká na biznis",$J184="Biznis",$J184="Švédsky biznis"),"ÁNO","")</f>
        <v/>
      </c>
      <c r="N184" s="2"/>
      <c r="O184" s="3"/>
      <c r="Q184"/>
      <c r="R184" s="3"/>
      <c r="S184" s="3"/>
      <c r="T184"/>
      <c r="U184"/>
      <c r="V184"/>
      <c r="W184"/>
      <c r="Z184"/>
      <c r="AA184"/>
      <c r="AD184"/>
    </row>
    <row r="185" spans="11:30" ht="18" customHeight="1">
      <c r="K185" t="str">
        <f>IF(OR($I185="Čaká na integráciu",$J185="Integrácia"),"ÁNO","")</f>
        <v/>
      </c>
      <c r="L185" t="str">
        <f>IF(OR($I185="Čaká na biznis",$J185="Biznis",$J185="Švédsky biznis"),"ÁNO","")</f>
        <v/>
      </c>
      <c r="N185" s="2"/>
      <c r="O185" s="3"/>
      <c r="Q185"/>
      <c r="R185" s="3"/>
      <c r="S185" s="3"/>
      <c r="T185"/>
      <c r="U185"/>
      <c r="V185"/>
      <c r="W185"/>
      <c r="Z185"/>
      <c r="AA185"/>
      <c r="AD185"/>
    </row>
    <row r="186" spans="11:30" ht="18" customHeight="1">
      <c r="K186" t="str">
        <f>IF(OR($I186="Čaká na integráciu",$J186="Integrácia"),"ÁNO","")</f>
        <v/>
      </c>
      <c r="L186" t="str">
        <f>IF(OR($I186="Čaká na biznis",$J186="Biznis",$J186="Švédsky biznis"),"ÁNO","")</f>
        <v/>
      </c>
      <c r="N186" s="2"/>
      <c r="O186" s="3"/>
      <c r="Q186"/>
      <c r="R186" s="3"/>
      <c r="S186" s="3"/>
      <c r="T186"/>
      <c r="U186"/>
      <c r="V186"/>
      <c r="W186"/>
      <c r="Z186"/>
      <c r="AA186"/>
      <c r="AD186"/>
    </row>
    <row r="187" spans="11:30" ht="18" customHeight="1">
      <c r="K187" t="str">
        <f>IF(OR($I187="Čaká na integráciu",$J187="Integrácia"),"ÁNO","")</f>
        <v/>
      </c>
      <c r="L187" t="str">
        <f>IF(OR($I187="Čaká na biznis",$J187="Biznis",$J187="Švédsky biznis"),"ÁNO","")</f>
        <v/>
      </c>
      <c r="N187" s="2"/>
      <c r="O187" s="3"/>
      <c r="Q187"/>
      <c r="R187" s="3"/>
      <c r="S187" s="3"/>
      <c r="T187"/>
      <c r="U187"/>
      <c r="V187"/>
      <c r="W187"/>
      <c r="Z187"/>
      <c r="AA187"/>
      <c r="AD187"/>
    </row>
    <row r="188" spans="11:30" ht="18" customHeight="1">
      <c r="K188" t="str">
        <f>IF(OR($I188="Čaká na integráciu",$J188="Integrácia"),"ÁNO","")</f>
        <v/>
      </c>
      <c r="L188" t="str">
        <f>IF(OR($I188="Čaká na biznis",$J188="Biznis",$J188="Švédsky biznis"),"ÁNO","")</f>
        <v/>
      </c>
      <c r="N188" s="2"/>
      <c r="O188" s="3"/>
      <c r="Q188"/>
      <c r="R188" s="3"/>
      <c r="S188" s="3"/>
      <c r="T188"/>
      <c r="U188"/>
      <c r="V188"/>
      <c r="W188"/>
      <c r="Z188"/>
      <c r="AA188"/>
      <c r="AD188"/>
    </row>
    <row r="189" spans="11:30" ht="18" customHeight="1">
      <c r="K189" t="str">
        <f>IF(OR($I189="Čaká na integráciu",$J189="Integrácia"),"ÁNO","")</f>
        <v/>
      </c>
      <c r="L189" t="str">
        <f>IF(OR($I189="Čaká na biznis",$J189="Biznis",$J189="Švédsky biznis"),"ÁNO","")</f>
        <v/>
      </c>
      <c r="N189" s="2"/>
      <c r="O189" s="3"/>
      <c r="Q189"/>
      <c r="R189" s="3"/>
      <c r="S189" s="3"/>
      <c r="T189"/>
      <c r="U189"/>
      <c r="V189"/>
      <c r="W189"/>
      <c r="Z189"/>
      <c r="AA189"/>
      <c r="AD189"/>
    </row>
    <row r="190" spans="11:30" ht="18" customHeight="1">
      <c r="K190" t="str">
        <f>IF(OR($I190="Čaká na integráciu",$J190="Integrácia"),"ÁNO","")</f>
        <v/>
      </c>
      <c r="L190" t="str">
        <f>IF(OR($I190="Čaká na biznis",$J190="Biznis",$J190="Švédsky biznis"),"ÁNO","")</f>
        <v/>
      </c>
      <c r="N190" s="2"/>
      <c r="O190" s="3"/>
      <c r="Q190"/>
      <c r="R190" s="3"/>
      <c r="S190" s="3"/>
      <c r="T190"/>
      <c r="U190"/>
      <c r="V190"/>
      <c r="W190"/>
      <c r="Z190"/>
      <c r="AA190"/>
      <c r="AD190"/>
    </row>
    <row r="191" spans="11:30" ht="18" customHeight="1">
      <c r="K191" t="str">
        <f>IF(OR($I191="Čaká na integráciu",$J191="Integrácia"),"ÁNO","")</f>
        <v/>
      </c>
      <c r="L191" t="str">
        <f>IF(OR($I191="Čaká na biznis",$J191="Biznis",$J191="Švédsky biznis"),"ÁNO","")</f>
        <v/>
      </c>
      <c r="N191" s="2"/>
      <c r="O191" s="3"/>
      <c r="Q191"/>
      <c r="R191" s="3"/>
      <c r="S191" s="3"/>
      <c r="T191"/>
      <c r="U191"/>
      <c r="V191"/>
      <c r="W191"/>
      <c r="Z191"/>
      <c r="AA191"/>
      <c r="AD191"/>
    </row>
    <row r="192" spans="11:30" ht="18" customHeight="1">
      <c r="K192" t="str">
        <f>IF(OR($I192="Čaká na integráciu",$J192="Integrácia"),"ÁNO","")</f>
        <v/>
      </c>
      <c r="L192" t="str">
        <f>IF(OR($I192="Čaká na biznis",$J192="Biznis",$J192="Švédsky biznis"),"ÁNO","")</f>
        <v/>
      </c>
      <c r="N192" s="2"/>
      <c r="O192" s="3"/>
      <c r="Q192"/>
      <c r="R192" s="3"/>
      <c r="S192" s="3"/>
      <c r="T192"/>
      <c r="U192"/>
      <c r="V192"/>
      <c r="W192"/>
      <c r="Z192"/>
      <c r="AA192"/>
      <c r="AD192"/>
    </row>
    <row r="193" spans="11:30" ht="18" customHeight="1">
      <c r="K193" t="str">
        <f>IF(OR($I193="Čaká na integráciu",$J193="Integrácia"),"ÁNO","")</f>
        <v/>
      </c>
      <c r="L193" t="str">
        <f>IF(OR($I193="Čaká na biznis",$J193="Biznis",$J193="Švédsky biznis"),"ÁNO","")</f>
        <v/>
      </c>
      <c r="N193" s="2"/>
      <c r="O193" s="3"/>
      <c r="Q193"/>
      <c r="R193" s="3"/>
      <c r="S193" s="3"/>
      <c r="T193"/>
      <c r="U193"/>
      <c r="V193"/>
      <c r="W193"/>
      <c r="Z193"/>
      <c r="AA193"/>
      <c r="AD193"/>
    </row>
    <row r="194" spans="11:30" ht="18" customHeight="1">
      <c r="K194" t="str">
        <f>IF(OR($I194="Čaká na integráciu",$J194="Integrácia"),"ÁNO","")</f>
        <v/>
      </c>
      <c r="L194" t="str">
        <f>IF(OR($I194="Čaká na biznis",$J194="Biznis",$J194="Švédsky biznis"),"ÁNO","")</f>
        <v/>
      </c>
      <c r="N194" s="2"/>
      <c r="O194" s="3"/>
      <c r="Q194"/>
      <c r="R194" s="3"/>
      <c r="S194" s="3"/>
      <c r="T194"/>
      <c r="U194"/>
      <c r="V194"/>
      <c r="W194"/>
      <c r="Z194"/>
      <c r="AA194"/>
      <c r="AD194"/>
    </row>
    <row r="195" spans="11:30" ht="18" customHeight="1">
      <c r="K195" t="str">
        <f>IF(OR($I195="Čaká na integráciu",$J195="Integrácia"),"ÁNO","")</f>
        <v/>
      </c>
      <c r="L195" t="str">
        <f>IF(OR($I195="Čaká na biznis",$J195="Biznis",$J195="Švédsky biznis"),"ÁNO","")</f>
        <v/>
      </c>
      <c r="N195" s="2"/>
      <c r="O195" s="3"/>
      <c r="Q195"/>
      <c r="R195" s="3"/>
      <c r="S195" s="3"/>
      <c r="T195"/>
      <c r="U195"/>
      <c r="V195"/>
      <c r="W195"/>
      <c r="Z195"/>
      <c r="AA195"/>
      <c r="AD195"/>
    </row>
    <row r="196" spans="11:30" ht="18" customHeight="1">
      <c r="K196" t="str">
        <f>IF(OR($I196="Čaká na integráciu",$J196="Integrácia"),"ÁNO","")</f>
        <v/>
      </c>
      <c r="L196" t="str">
        <f>IF(OR($I196="Čaká na biznis",$J196="Biznis",$J196="Švédsky biznis"),"ÁNO","")</f>
        <v/>
      </c>
      <c r="N196" s="2"/>
      <c r="O196" s="3"/>
      <c r="Q196"/>
      <c r="R196" s="3"/>
      <c r="S196" s="3"/>
      <c r="T196"/>
      <c r="U196"/>
      <c r="V196"/>
      <c r="W196"/>
      <c r="Z196"/>
      <c r="AA196"/>
      <c r="AD196"/>
    </row>
    <row r="197" spans="11:30" ht="18" customHeight="1">
      <c r="K197" t="str">
        <f>IF(OR($I197="Čaká na integráciu",$J197="Integrácia"),"ÁNO","")</f>
        <v/>
      </c>
      <c r="L197" t="str">
        <f>IF(OR($I197="Čaká na biznis",$J197="Biznis",$J197="Švédsky biznis"),"ÁNO","")</f>
        <v/>
      </c>
      <c r="N197" s="2"/>
      <c r="O197" s="3"/>
      <c r="Q197"/>
      <c r="R197" s="3"/>
      <c r="S197" s="3"/>
      <c r="T197"/>
      <c r="U197"/>
      <c r="V197"/>
      <c r="W197"/>
      <c r="Z197"/>
      <c r="AA197"/>
      <c r="AD197"/>
    </row>
    <row r="198" spans="11:30" ht="18" customHeight="1">
      <c r="K198" t="str">
        <f>IF(OR($I198="Čaká na integráciu",$J198="Integrácia"),"ÁNO","")</f>
        <v/>
      </c>
      <c r="L198" t="str">
        <f>IF(OR($I198="Čaká na biznis",$J198="Biznis",$J198="Švédsky biznis"),"ÁNO","")</f>
        <v/>
      </c>
      <c r="N198" s="2"/>
      <c r="O198" s="3"/>
      <c r="Q198"/>
      <c r="R198" s="3"/>
      <c r="S198" s="3"/>
      <c r="T198"/>
      <c r="U198"/>
      <c r="V198"/>
      <c r="W198"/>
      <c r="Z198"/>
      <c r="AA198"/>
      <c r="AD198"/>
    </row>
    <row r="199" spans="11:30" ht="18" customHeight="1">
      <c r="K199" t="str">
        <f>IF(OR($I199="Čaká na integráciu",$J199="Integrácia"),"ÁNO","")</f>
        <v/>
      </c>
      <c r="L199" t="str">
        <f>IF(OR($I199="Čaká na biznis",$J199="Biznis",$J199="Švédsky biznis"),"ÁNO","")</f>
        <v/>
      </c>
      <c r="N199" s="2"/>
      <c r="O199" s="3"/>
      <c r="Q199"/>
      <c r="R199" s="3"/>
      <c r="S199" s="3"/>
      <c r="T199"/>
      <c r="U199"/>
      <c r="V199"/>
      <c r="W199"/>
      <c r="Z199"/>
      <c r="AA199"/>
      <c r="AD199"/>
    </row>
    <row r="200" spans="11:30" ht="18" customHeight="1">
      <c r="K200" t="str">
        <f>IF(OR($I200="Čaká na integráciu",$J200="Integrácia"),"ÁNO","")</f>
        <v/>
      </c>
      <c r="L200" t="str">
        <f>IF(OR($I200="Čaká na biznis",$J200="Biznis",$J200="Švédsky biznis"),"ÁNO","")</f>
        <v/>
      </c>
      <c r="N200" s="2"/>
      <c r="O200" s="3"/>
      <c r="Q200"/>
      <c r="R200" s="3"/>
      <c r="S200" s="3"/>
      <c r="T200"/>
      <c r="U200"/>
      <c r="V200"/>
      <c r="W200"/>
      <c r="Z200"/>
      <c r="AA200"/>
      <c r="AD200"/>
    </row>
    <row r="201" spans="11:30" ht="18" customHeight="1">
      <c r="K201" t="str">
        <f>IF(OR($I201="Čaká na integráciu",$J201="Integrácia"),"ÁNO","")</f>
        <v/>
      </c>
      <c r="L201" t="str">
        <f>IF(OR($I201="Čaká na biznis",$J201="Biznis",$J201="Švédsky biznis"),"ÁNO","")</f>
        <v/>
      </c>
      <c r="N201" s="2"/>
      <c r="O201" s="3"/>
      <c r="Q201"/>
      <c r="R201" s="3"/>
      <c r="S201" s="3"/>
      <c r="T201"/>
      <c r="U201"/>
      <c r="V201"/>
      <c r="W201"/>
      <c r="Z201"/>
      <c r="AA201"/>
      <c r="AD201"/>
    </row>
    <row r="202" spans="11:30" ht="18" customHeight="1">
      <c r="K202" t="str">
        <f>IF(OR($I202="Čaká na integráciu",$J202="Integrácia"),"ÁNO","")</f>
        <v/>
      </c>
      <c r="L202" t="str">
        <f>IF(OR($I202="Čaká na biznis",$J202="Biznis",$J202="Švédsky biznis"),"ÁNO","")</f>
        <v/>
      </c>
      <c r="N202" s="2"/>
      <c r="O202" s="3"/>
      <c r="Q202"/>
      <c r="R202" s="3"/>
      <c r="S202" s="3"/>
      <c r="T202"/>
      <c r="U202"/>
      <c r="V202"/>
      <c r="W202"/>
      <c r="Z202"/>
      <c r="AA202"/>
      <c r="AD202"/>
    </row>
    <row r="203" spans="11:30" ht="18" customHeight="1">
      <c r="K203" t="str">
        <f>IF(OR($I203="Čaká na integráciu",$J203="Integrácia"),"ÁNO","")</f>
        <v/>
      </c>
      <c r="L203" t="str">
        <f>IF(OR($I203="Čaká na biznis",$J203="Biznis",$J203="Švédsky biznis"),"ÁNO","")</f>
        <v/>
      </c>
      <c r="N203" s="2"/>
      <c r="O203" s="3"/>
      <c r="Q203"/>
      <c r="R203" s="3"/>
      <c r="S203" s="3"/>
      <c r="T203"/>
      <c r="U203"/>
      <c r="V203"/>
      <c r="W203"/>
      <c r="Z203"/>
      <c r="AA203"/>
      <c r="AD203"/>
    </row>
    <row r="204" spans="11:30" ht="18" customHeight="1">
      <c r="K204" t="str">
        <f>IF(OR($I204="Čaká na integráciu",$J204="Integrácia"),"ÁNO","")</f>
        <v/>
      </c>
      <c r="L204" t="str">
        <f>IF(OR($I204="Čaká na biznis",$J204="Biznis",$J204="Švédsky biznis"),"ÁNO","")</f>
        <v/>
      </c>
      <c r="N204" s="2"/>
      <c r="O204" s="3"/>
      <c r="Q204"/>
      <c r="R204" s="3"/>
      <c r="S204" s="3"/>
      <c r="T204"/>
      <c r="U204"/>
      <c r="V204"/>
      <c r="W204"/>
      <c r="Z204"/>
      <c r="AA204"/>
      <c r="AD204"/>
    </row>
    <row r="205" spans="11:30" ht="18" customHeight="1">
      <c r="K205" t="str">
        <f>IF(OR($I205="Čaká na integráciu",$J205="Integrácia"),"ÁNO","")</f>
        <v/>
      </c>
      <c r="L205" t="str">
        <f>IF(OR($I205="Čaká na biznis",$J205="Biznis",$J205="Švédsky biznis"),"ÁNO","")</f>
        <v/>
      </c>
      <c r="N205" s="2"/>
      <c r="O205" s="3"/>
      <c r="Q205"/>
      <c r="R205" s="3"/>
      <c r="S205" s="3"/>
      <c r="T205"/>
      <c r="U205"/>
      <c r="V205"/>
      <c r="W205"/>
      <c r="Z205"/>
      <c r="AA205"/>
      <c r="AD205"/>
    </row>
    <row r="206" spans="11:30" ht="18" customHeight="1">
      <c r="K206" t="str">
        <f>IF(OR($I206="Čaká na integráciu",$J206="Integrácia"),"ÁNO","")</f>
        <v/>
      </c>
      <c r="L206" t="str">
        <f>IF(OR($I206="Čaká na biznis",$J206="Biznis",$J206="Švédsky biznis"),"ÁNO","")</f>
        <v/>
      </c>
      <c r="N206" s="2"/>
      <c r="O206" s="3"/>
      <c r="Q206"/>
      <c r="R206" s="3"/>
      <c r="S206" s="3"/>
      <c r="T206"/>
      <c r="U206"/>
      <c r="V206"/>
      <c r="W206"/>
      <c r="Z206"/>
      <c r="AA206"/>
      <c r="AD206"/>
    </row>
    <row r="207" spans="11:30" ht="18" customHeight="1">
      <c r="K207" t="str">
        <f>IF(OR($I207="Čaká na integráciu",$J207="Integrácia"),"ÁNO","")</f>
        <v/>
      </c>
      <c r="L207" t="str">
        <f>IF(OR($I207="Čaká na biznis",$J207="Biznis",$J207="Švédsky biznis"),"ÁNO","")</f>
        <v/>
      </c>
      <c r="N207" s="2"/>
      <c r="O207" s="3"/>
      <c r="Q207"/>
      <c r="R207" s="3"/>
      <c r="S207" s="3"/>
      <c r="T207"/>
      <c r="U207"/>
      <c r="V207"/>
      <c r="W207"/>
      <c r="Z207"/>
      <c r="AA207"/>
      <c r="AD207"/>
    </row>
    <row r="208" spans="11:30" ht="18" customHeight="1">
      <c r="K208" t="str">
        <f>IF(OR($I208="Čaká na integráciu",$J208="Integrácia"),"ÁNO","")</f>
        <v/>
      </c>
      <c r="L208" t="str">
        <f>IF(OR($I208="Čaká na biznis",$J208="Biznis",$J208="Švédsky biznis"),"ÁNO","")</f>
        <v/>
      </c>
      <c r="N208" s="2"/>
      <c r="O208" s="3"/>
      <c r="Q208"/>
      <c r="R208" s="3"/>
      <c r="S208" s="3"/>
      <c r="T208"/>
      <c r="U208"/>
      <c r="V208"/>
      <c r="W208"/>
      <c r="Z208"/>
      <c r="AA208"/>
      <c r="AD208"/>
    </row>
    <row r="209" spans="11:30" ht="18" customHeight="1">
      <c r="K209" t="str">
        <f>IF(OR($I209="Čaká na integráciu",$J209="Integrácia"),"ÁNO","")</f>
        <v/>
      </c>
      <c r="L209" t="str">
        <f>IF(OR($I209="Čaká na biznis",$J209="Biznis",$J209="Švédsky biznis"),"ÁNO","")</f>
        <v/>
      </c>
      <c r="N209" s="2"/>
      <c r="O209" s="3"/>
      <c r="Q209"/>
      <c r="R209" s="3"/>
      <c r="S209" s="3"/>
      <c r="T209"/>
      <c r="U209"/>
      <c r="V209"/>
      <c r="W209"/>
      <c r="Z209"/>
      <c r="AA209"/>
      <c r="AD209"/>
    </row>
    <row r="210" spans="11:30" ht="18" customHeight="1">
      <c r="K210" t="str">
        <f>IF(OR($I210="Čaká na integráciu",$J210="Integrácia"),"ÁNO","")</f>
        <v/>
      </c>
      <c r="L210" t="str">
        <f>IF(OR($I210="Čaká na biznis",$J210="Biznis",$J210="Švédsky biznis"),"ÁNO","")</f>
        <v/>
      </c>
      <c r="N210" s="2"/>
      <c r="O210" s="3"/>
      <c r="Q210"/>
      <c r="R210" s="3"/>
      <c r="S210" s="3"/>
      <c r="T210"/>
      <c r="U210"/>
      <c r="V210"/>
      <c r="W210"/>
      <c r="Z210"/>
      <c r="AA210"/>
      <c r="AD210"/>
    </row>
    <row r="211" spans="11:30" ht="18" customHeight="1">
      <c r="K211" t="str">
        <f>IF(OR($I211="Čaká na integráciu",$J211="Integrácia"),"ÁNO","")</f>
        <v/>
      </c>
      <c r="L211" t="str">
        <f>IF(OR($I211="Čaká na biznis",$J211="Biznis",$J211="Švédsky biznis"),"ÁNO","")</f>
        <v/>
      </c>
      <c r="N211" s="2"/>
      <c r="O211" s="3"/>
      <c r="Q211"/>
      <c r="R211" s="3"/>
      <c r="S211" s="3"/>
      <c r="T211"/>
      <c r="U211"/>
      <c r="V211"/>
      <c r="W211"/>
      <c r="Z211"/>
      <c r="AA211"/>
      <c r="AD211"/>
    </row>
    <row r="212" spans="11:30" ht="18" customHeight="1">
      <c r="K212" t="str">
        <f>IF(OR($I212="Čaká na integráciu",$J212="Integrácia"),"ÁNO","")</f>
        <v/>
      </c>
      <c r="L212" t="str">
        <f>IF(OR($I212="Čaká na biznis",$J212="Biznis",$J212="Švédsky biznis"),"ÁNO","")</f>
        <v/>
      </c>
      <c r="N212" s="2"/>
      <c r="O212" s="3"/>
      <c r="Q212"/>
      <c r="R212" s="3"/>
      <c r="S212" s="3"/>
      <c r="T212"/>
      <c r="U212"/>
      <c r="V212"/>
      <c r="W212"/>
      <c r="Z212"/>
      <c r="AA212"/>
      <c r="AD212"/>
    </row>
    <row r="213" spans="11:30" ht="18" customHeight="1">
      <c r="K213" t="str">
        <f>IF(OR($I213="Čaká na integráciu",$J213="Integrácia"),"ÁNO","")</f>
        <v/>
      </c>
      <c r="L213" t="str">
        <f>IF(OR($I213="Čaká na biznis",$J213="Biznis",$J213="Švédsky biznis"),"ÁNO","")</f>
        <v/>
      </c>
      <c r="N213" s="2"/>
      <c r="O213" s="3"/>
      <c r="Q213"/>
      <c r="R213" s="3"/>
      <c r="S213" s="3"/>
      <c r="T213"/>
      <c r="U213"/>
      <c r="V213"/>
      <c r="W213"/>
      <c r="Z213"/>
      <c r="AA213"/>
      <c r="AD213"/>
    </row>
    <row r="214" spans="11:30" ht="18" customHeight="1">
      <c r="K214" t="str">
        <f>IF(OR($I214="Čaká na integráciu",$J214="Integrácia"),"ÁNO","")</f>
        <v/>
      </c>
      <c r="L214" t="str">
        <f>IF(OR($I214="Čaká na biznis",$J214="Biznis",$J214="Švédsky biznis"),"ÁNO","")</f>
        <v/>
      </c>
      <c r="N214" s="2"/>
      <c r="O214" s="3"/>
      <c r="Q214"/>
      <c r="R214" s="3"/>
      <c r="S214" s="3"/>
      <c r="T214"/>
      <c r="U214"/>
      <c r="V214"/>
      <c r="W214"/>
      <c r="Z214"/>
      <c r="AA214"/>
      <c r="AD214"/>
    </row>
    <row r="215" spans="11:30" ht="18" customHeight="1">
      <c r="K215" t="str">
        <f>IF(OR($I215="Čaká na integráciu",$J215="Integrácia"),"ÁNO","")</f>
        <v/>
      </c>
      <c r="L215" t="str">
        <f>IF(OR($I215="Čaká na biznis",$J215="Biznis",$J215="Švédsky biznis"),"ÁNO","")</f>
        <v/>
      </c>
      <c r="N215" s="2"/>
      <c r="O215" s="3"/>
      <c r="Q215"/>
      <c r="R215" s="3"/>
      <c r="S215" s="3"/>
      <c r="T215"/>
      <c r="U215"/>
      <c r="V215"/>
      <c r="W215"/>
      <c r="Z215"/>
      <c r="AA215"/>
      <c r="AD215"/>
    </row>
    <row r="216" spans="11:30" ht="18" customHeight="1">
      <c r="K216" t="str">
        <f>IF(OR($I216="Čaká na integráciu",$J216="Integrácia"),"ÁNO","")</f>
        <v/>
      </c>
      <c r="L216" t="str">
        <f>IF(OR($I216="Čaká na biznis",$J216="Biznis",$J216="Švédsky biznis"),"ÁNO","")</f>
        <v/>
      </c>
      <c r="N216" s="2"/>
      <c r="O216" s="3"/>
      <c r="Q216"/>
      <c r="R216" s="3"/>
      <c r="S216" s="3"/>
      <c r="T216"/>
      <c r="U216"/>
      <c r="V216"/>
      <c r="W216"/>
      <c r="Z216"/>
      <c r="AA216"/>
      <c r="AD216"/>
    </row>
    <row r="217" spans="11:30" ht="18" customHeight="1">
      <c r="K217" t="str">
        <f>IF(OR($I217="Čaká na integráciu",$J217="Integrácia"),"ÁNO","")</f>
        <v/>
      </c>
      <c r="L217" t="str">
        <f>IF(OR($I217="Čaká na biznis",$J217="Biznis",$J217="Švédsky biznis"),"ÁNO","")</f>
        <v/>
      </c>
      <c r="N217" s="2"/>
      <c r="O217" s="3"/>
      <c r="Q217"/>
      <c r="R217" s="3"/>
      <c r="S217" s="3"/>
      <c r="T217"/>
      <c r="U217"/>
      <c r="V217"/>
      <c r="W217"/>
      <c r="Z217"/>
      <c r="AA217"/>
      <c r="AD217"/>
    </row>
    <row r="218" spans="11:30" ht="18" customHeight="1">
      <c r="K218" t="str">
        <f>IF(OR($I218="Čaká na integráciu",$J218="Integrácia"),"ÁNO","")</f>
        <v/>
      </c>
      <c r="L218" t="str">
        <f>IF(OR($I218="Čaká na biznis",$J218="Biznis",$J218="Švédsky biznis"),"ÁNO","")</f>
        <v/>
      </c>
      <c r="N218" s="2"/>
      <c r="O218" s="3"/>
      <c r="Q218"/>
      <c r="R218" s="3"/>
      <c r="S218" s="3"/>
      <c r="T218"/>
      <c r="U218"/>
      <c r="V218"/>
      <c r="W218"/>
      <c r="Z218"/>
      <c r="AA218"/>
      <c r="AD218"/>
    </row>
    <row r="219" spans="11:30" ht="18" customHeight="1">
      <c r="K219" t="str">
        <f>IF(OR($I219="Čaká na integráciu",$J219="Integrácia"),"ÁNO","")</f>
        <v/>
      </c>
      <c r="L219" t="str">
        <f>IF(OR($I219="Čaká na biznis",$J219="Biznis",$J219="Švédsky biznis"),"ÁNO","")</f>
        <v/>
      </c>
      <c r="N219" s="2"/>
      <c r="O219" s="3"/>
      <c r="Q219"/>
      <c r="R219" s="3"/>
      <c r="S219" s="3"/>
      <c r="T219"/>
      <c r="U219"/>
      <c r="V219"/>
      <c r="W219"/>
      <c r="Z219"/>
      <c r="AA219"/>
      <c r="AD219"/>
    </row>
    <row r="220" spans="11:30" ht="18" customHeight="1">
      <c r="K220" t="str">
        <f>IF(OR($I220="Čaká na integráciu",$J220="Integrácia"),"ÁNO","")</f>
        <v/>
      </c>
      <c r="L220" t="str">
        <f>IF(OR($I220="Čaká na biznis",$J220="Biznis",$J220="Švédsky biznis"),"ÁNO","")</f>
        <v/>
      </c>
      <c r="N220" s="2"/>
      <c r="O220" s="3"/>
      <c r="Q220"/>
      <c r="R220" s="3"/>
      <c r="S220" s="3"/>
      <c r="T220"/>
      <c r="U220"/>
      <c r="V220"/>
      <c r="W220"/>
      <c r="Z220"/>
      <c r="AA220"/>
      <c r="AD220"/>
    </row>
    <row r="221" spans="11:30" ht="18" customHeight="1">
      <c r="K221" t="str">
        <f>IF(OR($I221="Čaká na integráciu",$J221="Integrácia"),"ÁNO","")</f>
        <v/>
      </c>
      <c r="L221" t="str">
        <f>IF(OR($I221="Čaká na biznis",$J221="Biznis",$J221="Švédsky biznis"),"ÁNO","")</f>
        <v/>
      </c>
      <c r="N221" s="2"/>
      <c r="O221" s="3"/>
      <c r="Q221"/>
      <c r="R221" s="3"/>
      <c r="S221" s="3"/>
      <c r="T221"/>
      <c r="U221"/>
      <c r="V221"/>
      <c r="W221"/>
      <c r="Z221"/>
      <c r="AA221"/>
      <c r="AD221"/>
    </row>
    <row r="222" spans="11:30" ht="18" customHeight="1">
      <c r="K222" t="str">
        <f>IF(OR($I222="Čaká na integráciu",$J222="Integrácia"),"ÁNO","")</f>
        <v/>
      </c>
      <c r="L222" t="str">
        <f>IF(OR($I222="Čaká na biznis",$J222="Biznis",$J222="Švédsky biznis"),"ÁNO","")</f>
        <v/>
      </c>
      <c r="N222" s="2"/>
      <c r="O222" s="3"/>
      <c r="Q222"/>
      <c r="R222" s="3"/>
      <c r="S222" s="3"/>
      <c r="T222"/>
      <c r="U222"/>
      <c r="V222"/>
      <c r="W222"/>
      <c r="Z222"/>
      <c r="AA222"/>
      <c r="AD222"/>
    </row>
    <row r="223" spans="11:30" ht="18" customHeight="1">
      <c r="K223" t="str">
        <f>IF(OR($I223="Čaká na integráciu",$J223="Integrácia"),"ÁNO","")</f>
        <v/>
      </c>
      <c r="L223" t="str">
        <f>IF(OR($I223="Čaká na biznis",$J223="Biznis",$J223="Švédsky biznis"),"ÁNO","")</f>
        <v/>
      </c>
      <c r="N223" s="2"/>
      <c r="O223" s="3"/>
      <c r="Q223"/>
      <c r="R223" s="3"/>
      <c r="S223" s="3"/>
      <c r="T223"/>
      <c r="U223"/>
      <c r="V223"/>
      <c r="W223"/>
      <c r="Z223"/>
      <c r="AA223"/>
      <c r="AD223"/>
    </row>
    <row r="224" spans="11:30" ht="18" customHeight="1">
      <c r="K224" t="str">
        <f>IF(OR($I224="Čaká na integráciu",$J224="Integrácia"),"ÁNO","")</f>
        <v/>
      </c>
      <c r="L224" t="str">
        <f>IF(OR($I224="Čaká na biznis",$J224="Biznis",$J224="Švédsky biznis"),"ÁNO","")</f>
        <v/>
      </c>
      <c r="N224" s="2"/>
      <c r="O224" s="3"/>
      <c r="Q224"/>
      <c r="R224" s="3"/>
      <c r="S224" s="3"/>
      <c r="T224"/>
      <c r="U224"/>
      <c r="V224"/>
      <c r="W224"/>
      <c r="Z224"/>
      <c r="AA224"/>
      <c r="AD224"/>
    </row>
    <row r="225" spans="11:30" ht="18" customHeight="1">
      <c r="K225" t="str">
        <f>IF(OR($I225="Čaká na integráciu",$J225="Integrácia"),"ÁNO","")</f>
        <v/>
      </c>
      <c r="L225" t="str">
        <f>IF(OR($I225="Čaká na biznis",$J225="Biznis",$J225="Švédsky biznis"),"ÁNO","")</f>
        <v/>
      </c>
      <c r="N225" s="2"/>
      <c r="O225" s="3"/>
      <c r="Q225"/>
      <c r="R225" s="3"/>
      <c r="S225" s="3"/>
      <c r="T225"/>
      <c r="U225"/>
      <c r="V225"/>
      <c r="W225"/>
      <c r="Z225"/>
      <c r="AA225"/>
      <c r="AD225"/>
    </row>
    <row r="226" spans="11:30" ht="18" customHeight="1">
      <c r="K226" t="str">
        <f>IF(OR($I226="Čaká na integráciu",$J226="Integrácia"),"ÁNO","")</f>
        <v/>
      </c>
      <c r="L226" t="str">
        <f>IF(OR($I226="Čaká na biznis",$J226="Biznis",$J226="Švédsky biznis"),"ÁNO","")</f>
        <v/>
      </c>
      <c r="N226" s="2"/>
      <c r="O226" s="3"/>
      <c r="Q226"/>
      <c r="R226" s="3"/>
      <c r="S226" s="3"/>
      <c r="T226"/>
      <c r="U226"/>
      <c r="V226"/>
      <c r="W226"/>
      <c r="Z226"/>
      <c r="AA226"/>
      <c r="AD226"/>
    </row>
    <row r="227" spans="11:30" ht="18" customHeight="1">
      <c r="K227" t="str">
        <f>IF(OR($I227="Čaká na integráciu",$J227="Integrácia"),"ÁNO","")</f>
        <v/>
      </c>
      <c r="L227" t="str">
        <f>IF(OR($I227="Čaká na biznis",$J227="Biznis",$J227="Švédsky biznis"),"ÁNO","")</f>
        <v/>
      </c>
      <c r="N227" s="2"/>
      <c r="O227" s="3"/>
      <c r="Q227"/>
      <c r="R227" s="3"/>
      <c r="S227" s="3"/>
      <c r="T227"/>
      <c r="U227"/>
      <c r="V227"/>
      <c r="W227"/>
      <c r="Z227"/>
      <c r="AA227"/>
      <c r="AD227"/>
    </row>
    <row r="228" spans="11:30" ht="18" customHeight="1">
      <c r="K228" t="str">
        <f>IF(OR($I228="Čaká na integráciu",$J228="Integrácia"),"ÁNO","")</f>
        <v/>
      </c>
      <c r="L228" t="str">
        <f>IF(OR($I228="Čaká na biznis",$J228="Biznis",$J228="Švédsky biznis"),"ÁNO","")</f>
        <v/>
      </c>
      <c r="N228" s="2"/>
      <c r="O228" s="3"/>
      <c r="Q228"/>
      <c r="R228" s="3"/>
      <c r="S228" s="3"/>
      <c r="T228"/>
      <c r="U228"/>
      <c r="V228"/>
      <c r="W228"/>
      <c r="Z228"/>
      <c r="AA228"/>
      <c r="AD228"/>
    </row>
    <row r="229" spans="11:30" ht="18" customHeight="1">
      <c r="K229" t="str">
        <f>IF(OR($I229="Čaká na integráciu",$J229="Integrácia"),"ÁNO","")</f>
        <v/>
      </c>
      <c r="L229" t="str">
        <f>IF(OR($I229="Čaká na biznis",$J229="Biznis",$J229="Švédsky biznis"),"ÁNO","")</f>
        <v/>
      </c>
      <c r="N229" s="2"/>
      <c r="O229" s="3"/>
      <c r="Q229"/>
      <c r="R229" s="3"/>
      <c r="S229" s="3"/>
      <c r="T229"/>
      <c r="U229"/>
      <c r="V229"/>
      <c r="W229"/>
      <c r="Z229"/>
      <c r="AA229"/>
      <c r="AD229"/>
    </row>
    <row r="230" spans="11:30" ht="18" customHeight="1">
      <c r="K230" t="str">
        <f>IF(OR($I230="Čaká na integráciu",$J230="Integrácia"),"ÁNO","")</f>
        <v/>
      </c>
      <c r="L230" t="str">
        <f>IF(OR($I230="Čaká na biznis",$J230="Biznis",$J230="Švédsky biznis"),"ÁNO","")</f>
        <v/>
      </c>
      <c r="N230" s="2"/>
      <c r="O230" s="3"/>
      <c r="Q230"/>
      <c r="R230" s="3"/>
      <c r="S230" s="3"/>
      <c r="T230"/>
      <c r="U230"/>
      <c r="V230"/>
      <c r="W230"/>
      <c r="Z230"/>
      <c r="AA230"/>
      <c r="AD230"/>
    </row>
    <row r="231" spans="11:30" ht="18" customHeight="1">
      <c r="K231" t="str">
        <f>IF(OR($I231="Čaká na integráciu",$J231="Integrácia"),"ÁNO","")</f>
        <v/>
      </c>
      <c r="L231" t="str">
        <f>IF(OR($I231="Čaká na biznis",$J231="Biznis",$J231="Švédsky biznis"),"ÁNO","")</f>
        <v/>
      </c>
      <c r="N231" s="2"/>
      <c r="O231" s="3"/>
      <c r="Q231"/>
      <c r="R231" s="3"/>
      <c r="S231" s="3"/>
      <c r="T231"/>
      <c r="U231"/>
      <c r="V231"/>
      <c r="W231"/>
      <c r="Z231"/>
      <c r="AA231"/>
      <c r="AD231"/>
    </row>
    <row r="232" spans="11:30" ht="18" customHeight="1">
      <c r="K232" t="str">
        <f>IF(OR($I232="Čaká na integráciu",$J232="Integrácia"),"ÁNO","")</f>
        <v/>
      </c>
      <c r="L232" t="str">
        <f>IF(OR($I232="Čaká na biznis",$J232="Biznis",$J232="Švédsky biznis"),"ÁNO","")</f>
        <v/>
      </c>
      <c r="N232" s="2"/>
      <c r="O232" s="3"/>
      <c r="Q232"/>
      <c r="R232" s="3"/>
      <c r="S232" s="3"/>
      <c r="T232"/>
      <c r="U232"/>
      <c r="V232"/>
      <c r="W232"/>
      <c r="Z232"/>
      <c r="AA232"/>
      <c r="AD232"/>
    </row>
    <row r="233" spans="11:30" ht="18" customHeight="1">
      <c r="K233" t="str">
        <f>IF(OR($I233="Čaká na integráciu",$J233="Integrácia"),"ÁNO","")</f>
        <v/>
      </c>
      <c r="L233" t="str">
        <f>IF(OR($I233="Čaká na biznis",$J233="Biznis",$J233="Švédsky biznis"),"ÁNO","")</f>
        <v/>
      </c>
      <c r="N233" s="2"/>
      <c r="O233" s="3"/>
      <c r="Q233"/>
      <c r="R233" s="3"/>
      <c r="S233" s="3"/>
      <c r="T233"/>
      <c r="U233"/>
      <c r="V233"/>
      <c r="W233"/>
      <c r="Z233"/>
      <c r="AA233"/>
      <c r="AD233"/>
    </row>
    <row r="234" spans="11:30" ht="18" customHeight="1">
      <c r="K234" t="str">
        <f>IF(OR($I234="Čaká na integráciu",$J234="Integrácia"),"ÁNO","")</f>
        <v/>
      </c>
      <c r="L234" t="str">
        <f>IF(OR($I234="Čaká na biznis",$J234="Biznis",$J234="Švédsky biznis"),"ÁNO","")</f>
        <v/>
      </c>
      <c r="N234" s="2"/>
      <c r="O234" s="3"/>
      <c r="Q234"/>
      <c r="R234" s="3"/>
      <c r="S234" s="3"/>
      <c r="T234"/>
      <c r="U234"/>
      <c r="V234"/>
      <c r="W234"/>
      <c r="Z234"/>
      <c r="AA234"/>
      <c r="AD234"/>
    </row>
    <row r="235" spans="11:30" ht="18" customHeight="1">
      <c r="K235" t="str">
        <f>IF(OR($I235="Čaká na integráciu",$J235="Integrácia"),"ÁNO","")</f>
        <v/>
      </c>
      <c r="L235" t="str">
        <f>IF(OR($I235="Čaká na biznis",$J235="Biznis",$J235="Švédsky biznis"),"ÁNO","")</f>
        <v/>
      </c>
      <c r="N235" s="2"/>
      <c r="O235" s="3"/>
      <c r="Q235"/>
      <c r="R235" s="3"/>
      <c r="S235" s="3"/>
      <c r="T235"/>
      <c r="U235"/>
      <c r="V235"/>
      <c r="W235"/>
      <c r="Z235"/>
      <c r="AA235"/>
      <c r="AD235"/>
    </row>
    <row r="236" spans="11:30" ht="18" customHeight="1">
      <c r="K236" t="str">
        <f>IF(OR($I236="Čaká na integráciu",$J236="Integrácia"),"ÁNO","")</f>
        <v/>
      </c>
      <c r="L236" t="str">
        <f>IF(OR($I236="Čaká na biznis",$J236="Biznis",$J236="Švédsky biznis"),"ÁNO","")</f>
        <v/>
      </c>
      <c r="N236" s="2"/>
      <c r="O236" s="3"/>
      <c r="Q236"/>
      <c r="R236" s="3"/>
      <c r="S236" s="3"/>
      <c r="T236"/>
      <c r="U236"/>
      <c r="V236"/>
      <c r="W236"/>
      <c r="Z236"/>
      <c r="AA236"/>
      <c r="AD236"/>
    </row>
    <row r="237" spans="11:30" ht="18" customHeight="1">
      <c r="K237" t="str">
        <f>IF(OR($I237="Čaká na integráciu",$J237="Integrácia"),"ÁNO","")</f>
        <v/>
      </c>
      <c r="L237" t="str">
        <f>IF(OR($I237="Čaká na biznis",$J237="Biznis",$J237="Švédsky biznis"),"ÁNO","")</f>
        <v/>
      </c>
      <c r="N237" s="2"/>
      <c r="O237" s="3"/>
      <c r="Q237"/>
      <c r="R237" s="3"/>
      <c r="S237" s="3"/>
      <c r="T237"/>
      <c r="U237"/>
      <c r="V237"/>
      <c r="W237"/>
      <c r="Z237"/>
      <c r="AA237"/>
      <c r="AD237"/>
    </row>
    <row r="238" spans="11:30" ht="18" customHeight="1">
      <c r="K238" t="str">
        <f>IF(OR($I238="Čaká na integráciu",$J238="Integrácia"),"ÁNO","")</f>
        <v/>
      </c>
      <c r="L238" t="str">
        <f>IF(OR($I238="Čaká na biznis",$J238="Biznis",$J238="Švédsky biznis"),"ÁNO","")</f>
        <v/>
      </c>
      <c r="N238" s="2"/>
      <c r="O238" s="3"/>
      <c r="Q238"/>
      <c r="R238" s="3"/>
      <c r="S238" s="3"/>
      <c r="T238"/>
      <c r="U238"/>
      <c r="V238"/>
      <c r="W238"/>
      <c r="Z238"/>
      <c r="AA238"/>
      <c r="AD238"/>
    </row>
    <row r="239" spans="11:30" ht="18" customHeight="1">
      <c r="K239" t="str">
        <f>IF(OR($I239="Čaká na integráciu",$J239="Integrácia"),"ÁNO","")</f>
        <v/>
      </c>
      <c r="L239" t="str">
        <f>IF(OR($I239="Čaká na biznis",$J239="Biznis",$J239="Švédsky biznis"),"ÁNO","")</f>
        <v/>
      </c>
      <c r="N239" s="2"/>
      <c r="O239" s="3"/>
      <c r="Q239"/>
      <c r="R239" s="3"/>
      <c r="S239" s="3"/>
      <c r="T239"/>
      <c r="U239"/>
      <c r="V239"/>
      <c r="W239"/>
      <c r="Z239"/>
      <c r="AA239"/>
      <c r="AD239"/>
    </row>
    <row r="240" spans="11:30" ht="18" customHeight="1">
      <c r="K240" t="str">
        <f>IF(OR($I240="Čaká na integráciu",$J240="Integrácia"),"ÁNO","")</f>
        <v/>
      </c>
      <c r="L240" t="str">
        <f>IF(OR($I240="Čaká na biznis",$J240="Biznis",$J240="Švédsky biznis"),"ÁNO","")</f>
        <v/>
      </c>
      <c r="N240" s="2"/>
      <c r="O240" s="3"/>
      <c r="Q240"/>
      <c r="R240" s="3"/>
      <c r="S240" s="3"/>
      <c r="T240"/>
      <c r="U240"/>
      <c r="V240"/>
      <c r="W240"/>
      <c r="Z240"/>
      <c r="AA240"/>
      <c r="AD240"/>
    </row>
    <row r="241" spans="11:30" ht="18" customHeight="1">
      <c r="K241" t="str">
        <f>IF(OR($I241="Čaká na integráciu",$J241="Integrácia"),"ÁNO","")</f>
        <v/>
      </c>
      <c r="L241" t="str">
        <f>IF(OR($I241="Čaká na biznis",$J241="Biznis",$J241="Švédsky biznis"),"ÁNO","")</f>
        <v/>
      </c>
      <c r="N241" s="2"/>
      <c r="O241" s="3"/>
      <c r="Q241"/>
      <c r="R241" s="3"/>
      <c r="S241" s="3"/>
      <c r="T241"/>
      <c r="U241"/>
      <c r="V241"/>
      <c r="W241"/>
      <c r="Z241"/>
      <c r="AA241"/>
      <c r="AD241"/>
    </row>
    <row r="242" spans="11:30" ht="18" customHeight="1">
      <c r="K242" t="str">
        <f>IF(OR($I242="Čaká na integráciu",$J242="Integrácia"),"ÁNO","")</f>
        <v/>
      </c>
      <c r="L242" t="str">
        <f>IF(OR($I242="Čaká na biznis",$J242="Biznis",$J242="Švédsky biznis"),"ÁNO","")</f>
        <v/>
      </c>
      <c r="N242" s="2"/>
      <c r="O242" s="3"/>
      <c r="Q242"/>
      <c r="R242" s="3"/>
      <c r="S242" s="3"/>
      <c r="T242"/>
      <c r="U242"/>
      <c r="V242"/>
      <c r="W242"/>
      <c r="Z242"/>
      <c r="AA242"/>
      <c r="AD242"/>
    </row>
    <row r="243" spans="11:30" ht="18" customHeight="1">
      <c r="K243" t="str">
        <f>IF(OR($I243="Čaká na integráciu",$J243="Integrácia"),"ÁNO","")</f>
        <v/>
      </c>
      <c r="L243" t="str">
        <f>IF(OR($I243="Čaká na biznis",$J243="Biznis",$J243="Švédsky biznis"),"ÁNO","")</f>
        <v/>
      </c>
      <c r="N243" s="2"/>
      <c r="O243" s="3"/>
      <c r="Q243"/>
      <c r="R243" s="3"/>
      <c r="S243" s="3"/>
      <c r="T243"/>
      <c r="U243"/>
      <c r="V243"/>
      <c r="W243"/>
      <c r="Z243"/>
      <c r="AA243"/>
      <c r="AD243"/>
    </row>
    <row r="244" spans="11:30" ht="18" customHeight="1">
      <c r="K244" t="str">
        <f>IF(OR($I244="Čaká na integráciu",$J244="Integrácia"),"ÁNO","")</f>
        <v/>
      </c>
      <c r="L244" t="str">
        <f>IF(OR($I244="Čaká na biznis",$J244="Biznis",$J244="Švédsky biznis"),"ÁNO","")</f>
        <v/>
      </c>
      <c r="N244" s="2"/>
      <c r="O244" s="3"/>
      <c r="Q244"/>
      <c r="R244" s="3"/>
      <c r="S244" s="3"/>
      <c r="T244"/>
      <c r="U244"/>
      <c r="V244"/>
      <c r="W244"/>
      <c r="Z244"/>
      <c r="AA244"/>
      <c r="AD244"/>
    </row>
    <row r="245" spans="11:30" ht="18" customHeight="1">
      <c r="K245" t="str">
        <f>IF(OR($I245="Čaká na integráciu",$J245="Integrácia"),"ÁNO","")</f>
        <v/>
      </c>
      <c r="L245" t="str">
        <f>IF(OR($I245="Čaká na biznis",$J245="Biznis",$J245="Švédsky biznis"),"ÁNO","")</f>
        <v/>
      </c>
      <c r="N245" s="2"/>
      <c r="O245" s="3"/>
      <c r="Q245"/>
      <c r="R245" s="3"/>
      <c r="S245" s="3"/>
      <c r="T245"/>
      <c r="U245"/>
      <c r="V245"/>
      <c r="W245"/>
      <c r="Z245"/>
      <c r="AA245"/>
      <c r="AD245"/>
    </row>
    <row r="246" spans="11:30" ht="18" customHeight="1">
      <c r="K246" t="str">
        <f>IF(OR($I246="Čaká na integráciu",$J246="Integrácia"),"ÁNO","")</f>
        <v/>
      </c>
      <c r="L246" t="str">
        <f>IF(OR($I246="Čaká na biznis",$J246="Biznis",$J246="Švédsky biznis"),"ÁNO","")</f>
        <v/>
      </c>
      <c r="N246" s="2"/>
      <c r="O246" s="3"/>
      <c r="Q246"/>
      <c r="R246" s="3"/>
      <c r="S246" s="3"/>
      <c r="T246"/>
      <c r="U246"/>
      <c r="V246"/>
      <c r="W246"/>
      <c r="Z246"/>
      <c r="AA246"/>
      <c r="AD246"/>
    </row>
    <row r="247" spans="11:30" ht="18" customHeight="1">
      <c r="K247" t="str">
        <f>IF(OR($I247="Čaká na integráciu",$J247="Integrácia"),"ÁNO","")</f>
        <v/>
      </c>
      <c r="L247" t="str">
        <f>IF(OR($I247="Čaká na biznis",$J247="Biznis",$J247="Švédsky biznis"),"ÁNO","")</f>
        <v/>
      </c>
      <c r="N247" s="2"/>
      <c r="O247" s="3"/>
      <c r="Q247"/>
      <c r="R247" s="3"/>
      <c r="S247" s="3"/>
      <c r="T247"/>
      <c r="U247"/>
      <c r="V247"/>
      <c r="W247"/>
      <c r="Z247"/>
      <c r="AA247"/>
      <c r="AD247"/>
    </row>
    <row r="248" spans="11:30" ht="18" customHeight="1">
      <c r="K248" t="str">
        <f>IF(OR($I248="Čaká na integráciu",$J248="Integrácia"),"ÁNO","")</f>
        <v/>
      </c>
      <c r="L248" t="str">
        <f>IF(OR($I248="Čaká na biznis",$J248="Biznis",$J248="Švédsky biznis"),"ÁNO","")</f>
        <v/>
      </c>
      <c r="N248" s="2"/>
      <c r="O248" s="3"/>
      <c r="Q248"/>
      <c r="R248" s="3"/>
      <c r="S248" s="3"/>
      <c r="T248"/>
      <c r="U248"/>
      <c r="V248"/>
      <c r="W248"/>
      <c r="Z248"/>
      <c r="AA248"/>
      <c r="AD248"/>
    </row>
    <row r="249" spans="11:30" ht="18" customHeight="1">
      <c r="K249" t="str">
        <f>IF(OR($I249="Čaká na integráciu",$J249="Integrácia"),"ÁNO","")</f>
        <v/>
      </c>
      <c r="L249" t="str">
        <f>IF(OR($I249="Čaká na biznis",$J249="Biznis",$J249="Švédsky biznis"),"ÁNO","")</f>
        <v/>
      </c>
      <c r="N249" s="2"/>
      <c r="O249" s="3"/>
      <c r="Q249"/>
      <c r="R249" s="3"/>
      <c r="S249" s="3"/>
      <c r="T249"/>
      <c r="U249"/>
      <c r="V249"/>
      <c r="W249"/>
      <c r="Z249"/>
      <c r="AA249"/>
      <c r="AD249"/>
    </row>
    <row r="250" spans="11:30" ht="18" customHeight="1">
      <c r="K250" t="str">
        <f>IF(OR($I250="Čaká na integráciu",$J250="Integrácia"),"ÁNO","")</f>
        <v/>
      </c>
      <c r="L250" t="str">
        <f>IF(OR($I250="Čaká na biznis",$J250="Biznis",$J250="Švédsky biznis"),"ÁNO","")</f>
        <v/>
      </c>
      <c r="N250" s="2"/>
      <c r="O250" s="3"/>
      <c r="Q250"/>
      <c r="R250" s="3"/>
      <c r="S250" s="3"/>
      <c r="T250"/>
      <c r="U250"/>
      <c r="V250"/>
      <c r="W250"/>
      <c r="Z250"/>
      <c r="AA250"/>
      <c r="AD250"/>
    </row>
    <row r="251" spans="11:30" ht="18" customHeight="1">
      <c r="K251" t="str">
        <f>IF(OR($I251="Čaká na integráciu",$J251="Integrácia"),"ÁNO","")</f>
        <v/>
      </c>
      <c r="L251" t="str">
        <f>IF(OR($I251="Čaká na biznis",$J251="Biznis",$J251="Švédsky biznis"),"ÁNO","")</f>
        <v/>
      </c>
      <c r="N251" s="2"/>
      <c r="O251" s="3"/>
      <c r="Q251"/>
      <c r="R251" s="3"/>
      <c r="S251" s="3"/>
      <c r="T251"/>
      <c r="U251"/>
      <c r="V251"/>
      <c r="W251"/>
      <c r="Z251"/>
      <c r="AA251"/>
      <c r="AD251"/>
    </row>
    <row r="252" spans="11:30" ht="18" customHeight="1">
      <c r="K252" t="str">
        <f>IF(OR($I252="Čaká na integráciu",$J252="Integrácia"),"ÁNO","")</f>
        <v/>
      </c>
      <c r="L252" t="str">
        <f>IF(OR($I252="Čaká na biznis",$J252="Biznis",$J252="Švédsky biznis"),"ÁNO","")</f>
        <v/>
      </c>
      <c r="N252" s="2"/>
      <c r="O252" s="3"/>
      <c r="Q252"/>
      <c r="R252" s="3"/>
      <c r="S252" s="3"/>
      <c r="T252"/>
      <c r="U252"/>
      <c r="V252"/>
      <c r="W252"/>
      <c r="Z252"/>
      <c r="AA252"/>
      <c r="AD252"/>
    </row>
    <row r="253" spans="11:30" ht="18" customHeight="1">
      <c r="K253" t="str">
        <f>IF(OR($I253="Čaká na integráciu",$J253="Integrácia"),"ÁNO","")</f>
        <v/>
      </c>
      <c r="L253" t="str">
        <f>IF(OR($I253="Čaká na biznis",$J253="Biznis",$J253="Švédsky biznis"),"ÁNO","")</f>
        <v/>
      </c>
      <c r="N253" s="2"/>
      <c r="O253" s="3"/>
      <c r="Q253"/>
      <c r="R253" s="3"/>
      <c r="S253" s="3"/>
      <c r="T253"/>
      <c r="U253"/>
      <c r="V253"/>
      <c r="W253"/>
      <c r="Z253"/>
      <c r="AA253"/>
      <c r="AD253"/>
    </row>
    <row r="254" spans="11:30" ht="18" customHeight="1">
      <c r="K254" t="str">
        <f>IF(OR($I254="Čaká na integráciu",$J254="Integrácia"),"ÁNO","")</f>
        <v/>
      </c>
      <c r="L254" t="str">
        <f>IF(OR($I254="Čaká na biznis",$J254="Biznis",$J254="Švédsky biznis"),"ÁNO","")</f>
        <v/>
      </c>
      <c r="N254" s="2"/>
      <c r="O254" s="3"/>
      <c r="Q254"/>
      <c r="R254" s="3"/>
      <c r="S254" s="3"/>
      <c r="T254"/>
      <c r="U254"/>
      <c r="V254"/>
      <c r="W254"/>
      <c r="Z254"/>
      <c r="AA254"/>
      <c r="AD254"/>
    </row>
    <row r="255" spans="11:30" ht="18" customHeight="1">
      <c r="K255" t="str">
        <f>IF(OR($I255="Čaká na integráciu",$J255="Integrácia"),"ÁNO","")</f>
        <v/>
      </c>
      <c r="L255" t="str">
        <f>IF(OR($I255="Čaká na biznis",$J255="Biznis",$J255="Švédsky biznis"),"ÁNO","")</f>
        <v/>
      </c>
      <c r="N255" s="2"/>
      <c r="O255" s="3"/>
      <c r="Q255"/>
      <c r="R255" s="3"/>
      <c r="S255" s="3"/>
      <c r="T255"/>
      <c r="U255"/>
      <c r="V255"/>
      <c r="W255"/>
      <c r="Z255"/>
      <c r="AA255"/>
      <c r="AD255"/>
    </row>
    <row r="256" spans="11:30" ht="18" customHeight="1">
      <c r="K256" t="str">
        <f>IF(OR($I256="Čaká na integráciu",$J256="Integrácia"),"ÁNO","")</f>
        <v/>
      </c>
      <c r="L256" t="str">
        <f>IF(OR($I256="Čaká na biznis",$J256="Biznis",$J256="Švédsky biznis"),"ÁNO","")</f>
        <v/>
      </c>
      <c r="N256" s="2"/>
      <c r="O256" s="3"/>
      <c r="Q256"/>
      <c r="R256" s="3"/>
      <c r="S256" s="3"/>
      <c r="T256"/>
      <c r="U256"/>
      <c r="V256"/>
      <c r="W256"/>
      <c r="Z256"/>
      <c r="AA256"/>
      <c r="AD256"/>
    </row>
    <row r="257" spans="11:30" ht="18" customHeight="1">
      <c r="K257" t="str">
        <f>IF(OR($I257="Čaká na integráciu",$J257="Integrácia"),"ÁNO","")</f>
        <v/>
      </c>
      <c r="L257" t="str">
        <f>IF(OR($I257="Čaká na biznis",$J257="Biznis",$J257="Švédsky biznis"),"ÁNO","")</f>
        <v/>
      </c>
      <c r="N257" s="2"/>
      <c r="O257" s="3"/>
      <c r="Q257"/>
      <c r="R257" s="3"/>
      <c r="S257" s="3"/>
      <c r="T257"/>
      <c r="U257"/>
      <c r="V257"/>
      <c r="W257"/>
      <c r="Z257"/>
      <c r="AA257"/>
      <c r="AD257"/>
    </row>
    <row r="258" spans="11:30" ht="18" customHeight="1">
      <c r="K258" t="str">
        <f>IF(OR($I258="Čaká na integráciu",$J258="Integrácia"),"ÁNO","")</f>
        <v/>
      </c>
      <c r="L258" t="str">
        <f>IF(OR($I258="Čaká na biznis",$J258="Biznis",$J258="Švédsky biznis"),"ÁNO","")</f>
        <v/>
      </c>
      <c r="N258" s="2"/>
      <c r="O258" s="3"/>
      <c r="Q258"/>
      <c r="R258" s="3"/>
      <c r="S258" s="3"/>
      <c r="T258"/>
      <c r="U258"/>
      <c r="V258"/>
      <c r="W258"/>
      <c r="Z258"/>
      <c r="AA258"/>
      <c r="AD258"/>
    </row>
    <row r="259" spans="11:30" ht="18" customHeight="1">
      <c r="K259" t="str">
        <f>IF(OR($I259="Čaká na integráciu",$J259="Integrácia"),"ÁNO","")</f>
        <v/>
      </c>
      <c r="L259" t="str">
        <f>IF(OR($I259="Čaká na biznis",$J259="Biznis",$J259="Švédsky biznis"),"ÁNO","")</f>
        <v/>
      </c>
      <c r="N259" s="2"/>
      <c r="O259" s="3"/>
      <c r="Q259"/>
      <c r="R259" s="3"/>
      <c r="S259" s="3"/>
      <c r="T259"/>
      <c r="U259"/>
      <c r="V259"/>
      <c r="W259"/>
      <c r="Z259"/>
      <c r="AA259"/>
      <c r="AD259"/>
    </row>
    <row r="260" spans="11:30" ht="18" customHeight="1">
      <c r="K260" t="str">
        <f>IF(OR($I260="Čaká na integráciu",$J260="Integrácia"),"ÁNO","")</f>
        <v/>
      </c>
      <c r="L260" t="str">
        <f>IF(OR($I260="Čaká na biznis",$J260="Biznis",$J260="Švédsky biznis"),"ÁNO","")</f>
        <v/>
      </c>
      <c r="N260" s="2"/>
      <c r="O260" s="3"/>
      <c r="Q260"/>
      <c r="R260" s="3"/>
      <c r="S260" s="3"/>
      <c r="T260"/>
      <c r="U260"/>
      <c r="V260"/>
      <c r="W260"/>
      <c r="Z260"/>
      <c r="AA260"/>
      <c r="AD260"/>
    </row>
    <row r="261" spans="11:30" ht="18" customHeight="1">
      <c r="K261" t="str">
        <f>IF(OR($I261="Čaká na integráciu",$J261="Integrácia"),"ÁNO","")</f>
        <v/>
      </c>
      <c r="L261" t="str">
        <f>IF(OR($I261="Čaká na biznis",$J261="Biznis",$J261="Švédsky biznis"),"ÁNO","")</f>
        <v/>
      </c>
      <c r="N261" s="2"/>
      <c r="O261" s="3"/>
      <c r="Q261"/>
      <c r="R261" s="3"/>
      <c r="S261" s="3"/>
      <c r="T261"/>
      <c r="U261"/>
      <c r="V261"/>
      <c r="W261"/>
      <c r="Z261"/>
      <c r="AA261"/>
      <c r="AD261"/>
    </row>
    <row r="262" spans="11:30" ht="18" customHeight="1">
      <c r="K262" t="str">
        <f>IF(OR($I262="Čaká na integráciu",$J262="Integrácia"),"ÁNO","")</f>
        <v/>
      </c>
      <c r="L262" t="str">
        <f>IF(OR($I262="Čaká na biznis",$J262="Biznis",$J262="Švédsky biznis"),"ÁNO","")</f>
        <v/>
      </c>
      <c r="N262" s="2"/>
      <c r="O262" s="3"/>
      <c r="Q262"/>
      <c r="R262" s="3"/>
      <c r="S262" s="3"/>
      <c r="T262"/>
      <c r="U262"/>
      <c r="V262"/>
      <c r="W262"/>
      <c r="Z262"/>
      <c r="AA262"/>
      <c r="AD262"/>
    </row>
    <row r="263" spans="11:30" ht="18" customHeight="1">
      <c r="K263" t="str">
        <f>IF(OR($I263="Čaká na integráciu",$J263="Integrácia"),"ÁNO","")</f>
        <v/>
      </c>
      <c r="L263" t="str">
        <f>IF(OR($I263="Čaká na biznis",$J263="Biznis",$J263="Švédsky biznis"),"ÁNO","")</f>
        <v/>
      </c>
      <c r="N263" s="2"/>
      <c r="O263" s="3"/>
      <c r="Q263"/>
      <c r="R263" s="3"/>
      <c r="S263" s="3"/>
      <c r="T263"/>
      <c r="U263"/>
      <c r="V263"/>
      <c r="W263"/>
      <c r="Z263"/>
      <c r="AA263"/>
      <c r="AD263"/>
    </row>
    <row r="264" spans="11:30" ht="18" customHeight="1">
      <c r="K264" t="str">
        <f>IF(OR($I264="Čaká na integráciu",$J264="Integrácia"),"ÁNO","")</f>
        <v/>
      </c>
      <c r="L264" t="str">
        <f>IF(OR($I264="Čaká na biznis",$J264="Biznis",$J264="Švédsky biznis"),"ÁNO","")</f>
        <v/>
      </c>
      <c r="N264" s="2"/>
      <c r="O264" s="3"/>
      <c r="Q264"/>
      <c r="R264" s="3"/>
      <c r="S264" s="3"/>
      <c r="T264"/>
      <c r="U264"/>
      <c r="V264"/>
      <c r="W264"/>
      <c r="Z264"/>
      <c r="AA264"/>
      <c r="AD264"/>
    </row>
    <row r="265" spans="11:30" ht="18" customHeight="1">
      <c r="K265" t="str">
        <f>IF(OR($I265="Čaká na integráciu",$J265="Integrácia"),"ÁNO","")</f>
        <v/>
      </c>
      <c r="L265" t="str">
        <f>IF(OR($I265="Čaká na biznis",$J265="Biznis",$J265="Švédsky biznis"),"ÁNO","")</f>
        <v/>
      </c>
      <c r="N265" s="2"/>
      <c r="O265" s="3"/>
      <c r="Q265"/>
      <c r="R265" s="3"/>
      <c r="S265" s="3"/>
      <c r="T265"/>
      <c r="U265"/>
      <c r="V265"/>
      <c r="W265"/>
      <c r="Z265"/>
      <c r="AA265"/>
      <c r="AD265"/>
    </row>
    <row r="266" spans="11:30" ht="18" customHeight="1">
      <c r="K266" t="str">
        <f>IF(OR($I266="Čaká na integráciu",$J266="Integrácia"),"ÁNO","")</f>
        <v/>
      </c>
      <c r="L266" t="str">
        <f>IF(OR($I266="Čaká na biznis",$J266="Biznis",$J266="Švédsky biznis"),"ÁNO","")</f>
        <v/>
      </c>
      <c r="N266" s="2"/>
      <c r="O266" s="3"/>
      <c r="Q266"/>
      <c r="R266" s="3"/>
      <c r="S266" s="3"/>
      <c r="T266"/>
      <c r="U266"/>
      <c r="V266"/>
      <c r="W266"/>
      <c r="Z266"/>
      <c r="AA266"/>
      <c r="AD266"/>
    </row>
    <row r="267" spans="11:30" ht="18" customHeight="1">
      <c r="K267" t="str">
        <f>IF(OR($I267="Čaká na integráciu",$J267="Integrácia"),"ÁNO","")</f>
        <v/>
      </c>
      <c r="L267" t="str">
        <f>IF(OR($I267="Čaká na biznis",$J267="Biznis",$J267="Švédsky biznis"),"ÁNO","")</f>
        <v/>
      </c>
      <c r="N267" s="2"/>
      <c r="O267" s="3"/>
      <c r="Q267"/>
      <c r="R267" s="3"/>
      <c r="S267" s="3"/>
      <c r="T267"/>
      <c r="U267"/>
      <c r="V267"/>
      <c r="W267"/>
      <c r="Z267"/>
      <c r="AA267"/>
      <c r="AD267"/>
    </row>
    <row r="268" spans="11:30" ht="18" customHeight="1">
      <c r="K268" t="str">
        <f>IF(OR($I268="Čaká na integráciu",$J268="Integrácia"),"ÁNO","")</f>
        <v/>
      </c>
      <c r="L268" t="str">
        <f>IF(OR($I268="Čaká na biznis",$J268="Biznis",$J268="Švédsky biznis"),"ÁNO","")</f>
        <v/>
      </c>
      <c r="N268" s="2"/>
      <c r="O268" s="3"/>
      <c r="Q268"/>
      <c r="R268" s="3"/>
      <c r="S268" s="3"/>
      <c r="T268"/>
      <c r="U268"/>
      <c r="V268"/>
      <c r="W268"/>
      <c r="Z268"/>
      <c r="AA268"/>
      <c r="AD268"/>
    </row>
    <row r="269" spans="11:30" ht="18" customHeight="1">
      <c r="K269" t="str">
        <f>IF(OR($I269="Čaká na integráciu",$J269="Integrácia"),"ÁNO","")</f>
        <v/>
      </c>
      <c r="L269" t="str">
        <f>IF(OR($I269="Čaká na biznis",$J269="Biznis",$J269="Švédsky biznis"),"ÁNO","")</f>
        <v/>
      </c>
      <c r="N269" s="2"/>
      <c r="O269" s="3"/>
      <c r="Q269"/>
      <c r="R269" s="3"/>
      <c r="S269" s="3"/>
      <c r="T269"/>
      <c r="U269"/>
      <c r="V269"/>
      <c r="W269"/>
      <c r="Z269"/>
      <c r="AA269"/>
      <c r="AD269"/>
    </row>
    <row r="270" spans="11:30" ht="18" customHeight="1">
      <c r="K270" t="str">
        <f>IF(OR($I270="Čaká na integráciu",$J270="Integrácia"),"ÁNO","")</f>
        <v/>
      </c>
      <c r="L270" t="str">
        <f>IF(OR($I270="Čaká na biznis",$J270="Biznis",$J270="Švédsky biznis"),"ÁNO","")</f>
        <v/>
      </c>
      <c r="N270" s="2"/>
      <c r="O270" s="3"/>
      <c r="Q270"/>
      <c r="R270" s="3"/>
      <c r="S270" s="3"/>
      <c r="T270"/>
      <c r="U270"/>
      <c r="V270"/>
      <c r="W270"/>
      <c r="Z270"/>
      <c r="AA270"/>
      <c r="AD270"/>
    </row>
    <row r="271" spans="11:30" ht="18" customHeight="1">
      <c r="K271" t="str">
        <f>IF(OR($I271="Čaká na integráciu",$J271="Integrácia"),"ÁNO","")</f>
        <v/>
      </c>
      <c r="L271" t="str">
        <f>IF(OR($I271="Čaká na biznis",$J271="Biznis",$J271="Švédsky biznis"),"ÁNO","")</f>
        <v/>
      </c>
      <c r="N271" s="2"/>
      <c r="O271" s="3"/>
      <c r="Q271"/>
      <c r="R271" s="3"/>
      <c r="S271" s="3"/>
      <c r="T271"/>
      <c r="U271"/>
      <c r="V271"/>
      <c r="W271"/>
      <c r="Z271"/>
      <c r="AA271"/>
      <c r="AD271"/>
    </row>
    <row r="272" spans="11:30" ht="18" customHeight="1">
      <c r="K272" t="str">
        <f>IF(OR($I272="Čaká na integráciu",$J272="Integrácia"),"ÁNO","")</f>
        <v/>
      </c>
      <c r="L272" t="str">
        <f>IF(OR($I272="Čaká na biznis",$J272="Biznis",$J272="Švédsky biznis"),"ÁNO","")</f>
        <v/>
      </c>
      <c r="N272" s="2"/>
      <c r="O272" s="3"/>
      <c r="Q272"/>
      <c r="R272" s="3"/>
      <c r="S272" s="3"/>
      <c r="T272"/>
      <c r="U272"/>
      <c r="V272"/>
      <c r="W272"/>
      <c r="Z272"/>
      <c r="AA272"/>
      <c r="AD272"/>
    </row>
    <row r="273" spans="11:30" ht="18" customHeight="1">
      <c r="K273" t="str">
        <f>IF(OR($I273="Čaká na integráciu",$J273="Integrácia"),"ÁNO","")</f>
        <v/>
      </c>
      <c r="L273" t="str">
        <f>IF(OR($I273="Čaká na biznis",$J273="Biznis",$J273="Švédsky biznis"),"ÁNO","")</f>
        <v/>
      </c>
      <c r="N273" s="2"/>
      <c r="O273" s="3"/>
      <c r="Q273"/>
      <c r="R273" s="3"/>
      <c r="S273" s="3"/>
      <c r="T273"/>
      <c r="U273"/>
      <c r="V273"/>
      <c r="W273"/>
      <c r="Z273"/>
      <c r="AA273"/>
      <c r="AD273"/>
    </row>
    <row r="274" spans="11:30" ht="18" customHeight="1">
      <c r="K274" t="str">
        <f>IF(OR($I274="Čaká na integráciu",$J274="Integrácia"),"ÁNO","")</f>
        <v/>
      </c>
      <c r="L274" t="str">
        <f>IF(OR($I274="Čaká na biznis",$J274="Biznis",$J274="Švédsky biznis"),"ÁNO","")</f>
        <v/>
      </c>
      <c r="N274" s="2"/>
      <c r="O274" s="3"/>
      <c r="Q274"/>
      <c r="R274" s="3"/>
      <c r="S274" s="3"/>
      <c r="T274"/>
      <c r="U274"/>
      <c r="V274"/>
      <c r="W274"/>
      <c r="Z274"/>
      <c r="AA274"/>
      <c r="AD274"/>
    </row>
    <row r="275" spans="11:30" ht="18" customHeight="1">
      <c r="K275" t="str">
        <f>IF(OR($I275="Čaká na integráciu",$J275="Integrácia"),"ÁNO","")</f>
        <v/>
      </c>
      <c r="L275" t="str">
        <f>IF(OR($I275="Čaká na biznis",$J275="Biznis",$J275="Švédsky biznis"),"ÁNO","")</f>
        <v/>
      </c>
      <c r="N275" s="2"/>
      <c r="O275" s="3"/>
      <c r="Q275"/>
      <c r="R275" s="3"/>
      <c r="S275" s="3"/>
      <c r="T275"/>
      <c r="U275"/>
      <c r="V275"/>
      <c r="W275"/>
      <c r="Z275"/>
      <c r="AA275"/>
      <c r="AD275"/>
    </row>
    <row r="276" spans="11:30" ht="18" customHeight="1">
      <c r="K276" t="str">
        <f>IF(OR($I276="Čaká na integráciu",$J276="Integrácia"),"ÁNO","")</f>
        <v/>
      </c>
      <c r="L276" t="str">
        <f>IF(OR($I276="Čaká na biznis",$J276="Biznis",$J276="Švédsky biznis"),"ÁNO","")</f>
        <v/>
      </c>
      <c r="N276" s="2"/>
      <c r="O276" s="3"/>
      <c r="Q276"/>
      <c r="R276" s="3"/>
      <c r="S276" s="3"/>
      <c r="T276"/>
      <c r="U276"/>
      <c r="V276"/>
      <c r="W276"/>
      <c r="Z276"/>
      <c r="AA276"/>
      <c r="AD276"/>
    </row>
    <row r="277" spans="11:30" ht="18" customHeight="1">
      <c r="K277" t="str">
        <f>IF(OR($I277="Čaká na integráciu",$J277="Integrácia"),"ÁNO","")</f>
        <v/>
      </c>
      <c r="L277" t="str">
        <f>IF(OR($I277="Čaká na biznis",$J277="Biznis",$J277="Švédsky biznis"),"ÁNO","")</f>
        <v/>
      </c>
      <c r="N277" s="2"/>
      <c r="O277" s="3"/>
      <c r="Q277"/>
      <c r="R277" s="3"/>
      <c r="S277" s="3"/>
      <c r="T277"/>
      <c r="U277"/>
      <c r="V277"/>
      <c r="W277"/>
      <c r="Z277"/>
      <c r="AA277"/>
      <c r="AD277"/>
    </row>
    <row r="278" spans="11:30" ht="18" customHeight="1">
      <c r="K278" t="str">
        <f>IF(OR($I278="Čaká na integráciu",$J278="Integrácia"),"ÁNO","")</f>
        <v/>
      </c>
      <c r="L278" t="str">
        <f>IF(OR($I278="Čaká na biznis",$J278="Biznis",$J278="Švédsky biznis"),"ÁNO","")</f>
        <v/>
      </c>
      <c r="N278" s="2"/>
      <c r="O278" s="3"/>
      <c r="Q278"/>
      <c r="R278" s="3"/>
      <c r="S278" s="3"/>
      <c r="T278"/>
      <c r="U278"/>
      <c r="V278"/>
      <c r="W278"/>
      <c r="Z278"/>
      <c r="AA278"/>
      <c r="AD278"/>
    </row>
    <row r="279" spans="11:30" ht="18" customHeight="1">
      <c r="K279" t="str">
        <f>IF(OR($I279="Čaká na integráciu",$J279="Integrácia"),"ÁNO","")</f>
        <v/>
      </c>
      <c r="L279" t="str">
        <f>IF(OR($I279="Čaká na biznis",$J279="Biznis",$J279="Švédsky biznis"),"ÁNO","")</f>
        <v/>
      </c>
      <c r="N279" s="2"/>
      <c r="O279" s="3"/>
      <c r="Q279"/>
      <c r="R279" s="3"/>
      <c r="S279" s="3"/>
      <c r="T279"/>
      <c r="U279"/>
      <c r="V279"/>
      <c r="W279"/>
      <c r="Z279"/>
      <c r="AA279"/>
      <c r="AD279"/>
    </row>
    <row r="280" spans="11:30" ht="18" customHeight="1">
      <c r="K280" t="str">
        <f>IF(OR($I280="Čaká na integráciu",$J280="Integrácia"),"ÁNO","")</f>
        <v/>
      </c>
      <c r="L280" t="str">
        <f>IF(OR($I280="Čaká na biznis",$J280="Biznis",$J280="Švédsky biznis"),"ÁNO","")</f>
        <v/>
      </c>
      <c r="N280" s="2"/>
      <c r="O280" s="3"/>
      <c r="Q280"/>
      <c r="R280" s="3"/>
      <c r="S280" s="3"/>
      <c r="T280"/>
      <c r="U280"/>
      <c r="V280"/>
      <c r="W280"/>
      <c r="Z280"/>
      <c r="AA280"/>
      <c r="AD280"/>
    </row>
    <row r="281" spans="11:30" ht="18" customHeight="1">
      <c r="K281" t="str">
        <f>IF(OR($I281="Čaká na integráciu",$J281="Integrácia"),"ÁNO","")</f>
        <v/>
      </c>
      <c r="L281" t="str">
        <f>IF(OR($I281="Čaká na biznis",$J281="Biznis",$J281="Švédsky biznis"),"ÁNO","")</f>
        <v/>
      </c>
      <c r="N281" s="2"/>
      <c r="O281" s="3"/>
      <c r="Q281"/>
      <c r="R281" s="3"/>
      <c r="S281" s="3"/>
      <c r="T281"/>
      <c r="U281"/>
      <c r="V281"/>
      <c r="W281"/>
      <c r="Z281"/>
      <c r="AA281"/>
      <c r="AD281"/>
    </row>
    <row r="282" spans="11:30" ht="18" customHeight="1">
      <c r="K282" t="str">
        <f>IF(OR($I282="Čaká na integráciu",$J282="Integrácia"),"ÁNO","")</f>
        <v/>
      </c>
      <c r="L282" t="str">
        <f>IF(OR($I282="Čaká na biznis",$J282="Biznis",$J282="Švédsky biznis"),"ÁNO","")</f>
        <v/>
      </c>
      <c r="N282" s="2"/>
      <c r="O282" s="3"/>
      <c r="Q282"/>
      <c r="R282" s="3"/>
      <c r="S282" s="3"/>
      <c r="T282"/>
      <c r="U282"/>
      <c r="V282"/>
      <c r="W282"/>
      <c r="Z282"/>
      <c r="AA282"/>
      <c r="AD282"/>
    </row>
    <row r="283" spans="11:30" ht="18" customHeight="1">
      <c r="K283" t="str">
        <f>IF(OR($I283="Čaká na integráciu",$J283="Integrácia"),"ÁNO","")</f>
        <v/>
      </c>
      <c r="L283" t="str">
        <f>IF(OR($I283="Čaká na biznis",$J283="Biznis",$J283="Švédsky biznis"),"ÁNO","")</f>
        <v/>
      </c>
      <c r="N283" s="2"/>
      <c r="O283" s="3"/>
      <c r="Q283"/>
      <c r="R283" s="3"/>
      <c r="S283" s="3"/>
      <c r="T283"/>
      <c r="U283"/>
      <c r="V283"/>
      <c r="W283"/>
      <c r="Z283"/>
      <c r="AA283"/>
      <c r="AD283"/>
    </row>
    <row r="284" spans="11:30" ht="18" customHeight="1">
      <c r="K284" t="str">
        <f>IF(OR($I284="Čaká na integráciu",$J284="Integrácia"),"ÁNO","")</f>
        <v/>
      </c>
      <c r="L284" t="str">
        <f>IF(OR($I284="Čaká na biznis",$J284="Biznis",$J284="Švédsky biznis"),"ÁNO","")</f>
        <v/>
      </c>
      <c r="N284" s="2"/>
      <c r="O284" s="3"/>
      <c r="Q284"/>
      <c r="R284" s="3"/>
      <c r="S284" s="3"/>
      <c r="T284"/>
      <c r="U284"/>
      <c r="V284"/>
      <c r="W284"/>
      <c r="Z284"/>
      <c r="AA284"/>
      <c r="AD284"/>
    </row>
    <row r="285" spans="11:30" ht="18" customHeight="1">
      <c r="K285" t="str">
        <f>IF(OR($I285="Čaká na integráciu",$J285="Integrácia"),"ÁNO","")</f>
        <v/>
      </c>
      <c r="L285" t="str">
        <f>IF(OR($I285="Čaká na biznis",$J285="Biznis",$J285="Švédsky biznis"),"ÁNO","")</f>
        <v/>
      </c>
      <c r="N285" s="2"/>
      <c r="O285" s="3"/>
      <c r="Q285"/>
      <c r="R285" s="3"/>
      <c r="S285" s="3"/>
      <c r="T285"/>
      <c r="U285"/>
      <c r="V285"/>
      <c r="W285"/>
      <c r="Z285"/>
      <c r="AA285"/>
      <c r="AD285"/>
    </row>
    <row r="286" spans="11:30" ht="18" customHeight="1">
      <c r="K286" t="str">
        <f>IF(OR($I286="Čaká na integráciu",$J286="Integrácia"),"ÁNO","")</f>
        <v/>
      </c>
      <c r="L286" t="str">
        <f>IF(OR($I286="Čaká na biznis",$J286="Biznis",$J286="Švédsky biznis"),"ÁNO","")</f>
        <v/>
      </c>
      <c r="N286" s="2"/>
      <c r="O286" s="3"/>
      <c r="Q286"/>
      <c r="R286" s="3"/>
      <c r="S286" s="3"/>
      <c r="T286"/>
      <c r="U286"/>
      <c r="V286"/>
      <c r="W286"/>
      <c r="Z286"/>
      <c r="AA286"/>
      <c r="AD286"/>
    </row>
    <row r="287" spans="11:30" ht="18" customHeight="1">
      <c r="K287" t="str">
        <f>IF(OR($I287="Čaká na integráciu",$J287="Integrácia"),"ÁNO","")</f>
        <v/>
      </c>
      <c r="L287" t="str">
        <f>IF(OR($I287="Čaká na biznis",$J287="Biznis",$J287="Švédsky biznis"),"ÁNO","")</f>
        <v/>
      </c>
      <c r="N287" s="2"/>
      <c r="O287" s="3"/>
      <c r="Q287"/>
      <c r="R287" s="3"/>
      <c r="S287" s="3"/>
      <c r="T287"/>
      <c r="U287"/>
      <c r="V287"/>
      <c r="W287"/>
      <c r="Z287"/>
      <c r="AA287"/>
      <c r="AD287"/>
    </row>
    <row r="288" spans="11:30" ht="18" customHeight="1">
      <c r="K288" t="str">
        <f>IF(OR($I288="Čaká na integráciu",$J288="Integrácia"),"ÁNO","")</f>
        <v/>
      </c>
      <c r="L288" t="str">
        <f>IF(OR($I288="Čaká na biznis",$J288="Biznis",$J288="Švédsky biznis"),"ÁNO","")</f>
        <v/>
      </c>
      <c r="N288" s="2"/>
      <c r="O288" s="3"/>
      <c r="Q288"/>
      <c r="R288" s="3"/>
      <c r="S288" s="3"/>
      <c r="T288"/>
      <c r="U288"/>
      <c r="V288"/>
      <c r="W288"/>
      <c r="Z288"/>
      <c r="AA288"/>
      <c r="AD288"/>
    </row>
    <row r="289" spans="11:30" ht="18" customHeight="1">
      <c r="K289" t="str">
        <f>IF(OR($I289="Čaká na integráciu",$J289="Integrácia"),"ÁNO","")</f>
        <v/>
      </c>
      <c r="L289" t="str">
        <f>IF(OR($I289="Čaká na biznis",$J289="Biznis",$J289="Švédsky biznis"),"ÁNO","")</f>
        <v/>
      </c>
      <c r="N289" s="2"/>
      <c r="O289" s="3"/>
      <c r="Q289"/>
      <c r="R289" s="3"/>
      <c r="S289" s="3"/>
      <c r="T289"/>
      <c r="U289"/>
      <c r="V289"/>
      <c r="W289"/>
      <c r="Z289"/>
      <c r="AA289"/>
      <c r="AD289"/>
    </row>
    <row r="290" spans="11:30" ht="18" customHeight="1">
      <c r="K290" t="str">
        <f>IF(OR($I290="Čaká na integráciu",$J290="Integrácia"),"ÁNO","")</f>
        <v/>
      </c>
      <c r="L290" t="str">
        <f>IF(OR($I290="Čaká na biznis",$J290="Biznis",$J290="Švédsky biznis"),"ÁNO","")</f>
        <v/>
      </c>
      <c r="N290" s="2"/>
      <c r="O290" s="3"/>
      <c r="Q290"/>
      <c r="R290" s="3"/>
      <c r="S290" s="3"/>
      <c r="T290"/>
      <c r="U290"/>
      <c r="V290"/>
      <c r="W290"/>
      <c r="Z290"/>
      <c r="AA290"/>
      <c r="AD290"/>
    </row>
    <row r="291" spans="11:30" ht="18" customHeight="1">
      <c r="K291" t="str">
        <f>IF(OR($I291="Čaká na integráciu",$J291="Integrácia"),"ÁNO","")</f>
        <v/>
      </c>
      <c r="L291" t="str">
        <f>IF(OR($I291="Čaká na biznis",$J291="Biznis",$J291="Švédsky biznis"),"ÁNO","")</f>
        <v/>
      </c>
      <c r="N291" s="2"/>
      <c r="O291" s="3"/>
      <c r="Q291"/>
      <c r="R291" s="3"/>
      <c r="S291" s="3"/>
      <c r="T291"/>
      <c r="U291"/>
      <c r="V291"/>
      <c r="W291"/>
      <c r="Z291"/>
      <c r="AA291"/>
      <c r="AD291"/>
    </row>
    <row r="292" spans="11:30" ht="18" customHeight="1">
      <c r="K292" t="str">
        <f>IF(OR($I292="Čaká na integráciu",$J292="Integrácia"),"ÁNO","")</f>
        <v/>
      </c>
      <c r="L292" t="str">
        <f>IF(OR($I292="Čaká na biznis",$J292="Biznis",$J292="Švédsky biznis"),"ÁNO","")</f>
        <v/>
      </c>
      <c r="N292" s="2"/>
      <c r="O292" s="3"/>
      <c r="Q292"/>
      <c r="R292" s="3"/>
      <c r="S292" s="3"/>
      <c r="T292"/>
      <c r="U292"/>
      <c r="V292"/>
      <c r="W292"/>
      <c r="Z292"/>
      <c r="AA292"/>
      <c r="AD292"/>
    </row>
    <row r="293" spans="11:30" ht="18" customHeight="1">
      <c r="K293" t="str">
        <f>IF(OR($I293="Čaká na integráciu",$J293="Integrácia"),"ÁNO","")</f>
        <v/>
      </c>
      <c r="L293" t="str">
        <f>IF(OR($I293="Čaká na biznis",$J293="Biznis",$J293="Švédsky biznis"),"ÁNO","")</f>
        <v/>
      </c>
      <c r="N293" s="2"/>
      <c r="O293" s="3"/>
      <c r="Q293"/>
      <c r="R293" s="3"/>
      <c r="S293" s="3"/>
      <c r="T293"/>
      <c r="U293"/>
      <c r="V293"/>
      <c r="W293"/>
      <c r="Z293"/>
      <c r="AA293"/>
      <c r="AD293"/>
    </row>
    <row r="294" spans="11:30" ht="18" customHeight="1">
      <c r="K294" t="str">
        <f>IF(OR($I294="Čaká na integráciu",$J294="Integrácia"),"ÁNO","")</f>
        <v/>
      </c>
      <c r="L294" t="str">
        <f>IF(OR($I294="Čaká na biznis",$J294="Biznis",$J294="Švédsky biznis"),"ÁNO","")</f>
        <v/>
      </c>
      <c r="N294" s="2"/>
      <c r="O294" s="3"/>
      <c r="Q294"/>
      <c r="R294" s="3"/>
      <c r="S294" s="3"/>
      <c r="T294"/>
      <c r="U294"/>
      <c r="V294"/>
      <c r="W294"/>
      <c r="Z294"/>
      <c r="AA294"/>
      <c r="AD294"/>
    </row>
    <row r="295" spans="11:30" ht="18" customHeight="1">
      <c r="K295" t="str">
        <f>IF(OR($I295="Čaká na integráciu",$J295="Integrácia"),"ÁNO","")</f>
        <v/>
      </c>
      <c r="L295" t="str">
        <f>IF(OR($I295="Čaká na biznis",$J295="Biznis",$J295="Švédsky biznis"),"ÁNO","")</f>
        <v/>
      </c>
      <c r="N295" s="2"/>
      <c r="O295" s="3"/>
      <c r="Q295"/>
      <c r="R295" s="3"/>
      <c r="S295" s="3"/>
      <c r="T295"/>
      <c r="U295"/>
      <c r="V295"/>
      <c r="W295"/>
      <c r="Z295"/>
      <c r="AA295"/>
      <c r="AD295"/>
    </row>
    <row r="296" spans="11:30" ht="18" customHeight="1">
      <c r="K296" t="str">
        <f>IF(OR($I296="Čaká na integráciu",$J296="Integrácia"),"ÁNO","")</f>
        <v/>
      </c>
      <c r="L296" t="str">
        <f>IF(OR($I296="Čaká na biznis",$J296="Biznis",$J296="Švédsky biznis"),"ÁNO","")</f>
        <v/>
      </c>
      <c r="N296" s="2"/>
      <c r="O296" s="3"/>
      <c r="Q296"/>
      <c r="R296" s="3"/>
      <c r="S296" s="3"/>
      <c r="T296"/>
      <c r="U296"/>
      <c r="V296"/>
      <c r="W296"/>
      <c r="Z296"/>
      <c r="AA296"/>
      <c r="AD296"/>
    </row>
    <row r="297" spans="11:30" ht="18" customHeight="1">
      <c r="K297" t="str">
        <f>IF(OR($I297="Čaká na integráciu",$J297="Integrácia"),"ÁNO","")</f>
        <v/>
      </c>
      <c r="L297" t="str">
        <f>IF(OR($I297="Čaká na biznis",$J297="Biznis",$J297="Švédsky biznis"),"ÁNO","")</f>
        <v/>
      </c>
      <c r="N297" s="2"/>
      <c r="O297" s="3"/>
      <c r="Q297"/>
      <c r="R297" s="3"/>
      <c r="S297" s="3"/>
      <c r="T297"/>
      <c r="U297"/>
      <c r="V297"/>
      <c r="W297"/>
      <c r="Z297"/>
      <c r="AA297"/>
      <c r="AD297"/>
    </row>
    <row r="298" spans="11:30" ht="18" customHeight="1">
      <c r="K298" t="str">
        <f>IF(OR($I298="Čaká na integráciu",$J298="Integrácia"),"ÁNO","")</f>
        <v/>
      </c>
      <c r="L298" t="str">
        <f>IF(OR($I298="Čaká na biznis",$J298="Biznis",$J298="Švédsky biznis"),"ÁNO","")</f>
        <v/>
      </c>
      <c r="N298" s="2"/>
      <c r="O298" s="3"/>
      <c r="Q298"/>
      <c r="R298" s="3"/>
      <c r="S298" s="3"/>
      <c r="T298"/>
      <c r="U298"/>
      <c r="V298"/>
      <c r="W298"/>
      <c r="Z298"/>
      <c r="AA298"/>
      <c r="AD298"/>
    </row>
    <row r="299" spans="11:30" ht="18" customHeight="1">
      <c r="K299" t="str">
        <f>IF(OR($I299="Čaká na integráciu",$J299="Integrácia"),"ÁNO","")</f>
        <v/>
      </c>
      <c r="L299" t="str">
        <f>IF(OR($I299="Čaká na biznis",$J299="Biznis",$J299="Švédsky biznis"),"ÁNO","")</f>
        <v/>
      </c>
      <c r="N299" s="2"/>
      <c r="O299" s="3"/>
      <c r="Q299"/>
      <c r="R299" s="3"/>
      <c r="S299" s="3"/>
      <c r="T299"/>
      <c r="U299"/>
      <c r="V299"/>
      <c r="W299"/>
      <c r="Z299"/>
      <c r="AA299"/>
      <c r="AD299"/>
    </row>
    <row r="300" spans="11:30" ht="18" customHeight="1">
      <c r="K300" t="str">
        <f>IF(OR($I300="Čaká na integráciu",$J300="Integrácia"),"ÁNO","")</f>
        <v/>
      </c>
      <c r="L300" t="str">
        <f>IF(OR($I300="Čaká na biznis",$J300="Biznis",$J300="Švédsky biznis"),"ÁNO","")</f>
        <v/>
      </c>
      <c r="N300" s="2"/>
      <c r="O300" s="3"/>
      <c r="Q300"/>
      <c r="R300" s="3"/>
      <c r="S300" s="3"/>
      <c r="T300"/>
      <c r="U300"/>
      <c r="V300"/>
      <c r="W300"/>
      <c r="Z300"/>
      <c r="AA300"/>
      <c r="AD300"/>
    </row>
    <row r="301" spans="11:30" ht="18" customHeight="1">
      <c r="K301" t="str">
        <f>IF(OR($I301="Čaká na integráciu",$J301="Integrácia"),"ÁNO","")</f>
        <v/>
      </c>
      <c r="L301" t="str">
        <f>IF(OR($I301="Čaká na biznis",$J301="Biznis",$J301="Švédsky biznis"),"ÁNO","")</f>
        <v/>
      </c>
      <c r="N301" s="2"/>
      <c r="O301" s="3"/>
      <c r="Q301"/>
      <c r="R301" s="3"/>
      <c r="S301" s="3"/>
      <c r="T301"/>
      <c r="U301"/>
      <c r="V301"/>
      <c r="W301"/>
      <c r="Z301"/>
      <c r="AA301"/>
      <c r="AD301"/>
    </row>
    <row r="302" spans="11:30" ht="18" customHeight="1">
      <c r="K302" t="str">
        <f>IF(OR($I302="Čaká na integráciu",$J302="Integrácia"),"ÁNO","")</f>
        <v/>
      </c>
      <c r="L302" t="str">
        <f>IF(OR($I302="Čaká na biznis",$J302="Biznis",$J302="Švédsky biznis"),"ÁNO","")</f>
        <v/>
      </c>
      <c r="N302" s="2"/>
      <c r="O302" s="3"/>
      <c r="Q302"/>
      <c r="R302" s="3"/>
      <c r="S302" s="3"/>
      <c r="T302"/>
      <c r="U302"/>
      <c r="V302"/>
      <c r="W302"/>
      <c r="Z302"/>
      <c r="AA302"/>
      <c r="AD302"/>
    </row>
    <row r="303" spans="11:30" ht="18" customHeight="1">
      <c r="K303" t="str">
        <f>IF(OR($I303="Čaká na integráciu",$J303="Integrácia"),"ÁNO","")</f>
        <v/>
      </c>
      <c r="L303" t="str">
        <f>IF(OR($I303="Čaká na biznis",$J303="Biznis",$J303="Švédsky biznis"),"ÁNO","")</f>
        <v/>
      </c>
      <c r="N303" s="2"/>
      <c r="O303" s="3"/>
      <c r="Q303"/>
      <c r="R303" s="3"/>
      <c r="S303" s="3"/>
      <c r="T303"/>
      <c r="U303"/>
      <c r="V303"/>
      <c r="W303"/>
      <c r="Z303"/>
      <c r="AA303"/>
      <c r="AD303"/>
    </row>
    <row r="304" spans="11:30" ht="18" customHeight="1">
      <c r="K304" t="str">
        <f>IF(OR($I304="Čaká na integráciu",$J304="Integrácia"),"ÁNO","")</f>
        <v/>
      </c>
      <c r="L304" t="str">
        <f>IF(OR($I304="Čaká na biznis",$J304="Biznis",$J304="Švédsky biznis"),"ÁNO","")</f>
        <v/>
      </c>
      <c r="N304" s="2"/>
      <c r="O304" s="3"/>
      <c r="Q304"/>
      <c r="R304" s="3"/>
      <c r="S304" s="3"/>
      <c r="T304"/>
      <c r="U304"/>
      <c r="V304"/>
      <c r="W304"/>
      <c r="Z304"/>
      <c r="AA304"/>
      <c r="AD304"/>
    </row>
    <row r="305" spans="11:30" ht="18" customHeight="1">
      <c r="K305" t="str">
        <f>IF(OR($I305="Čaká na integráciu",$J305="Integrácia"),"ÁNO","")</f>
        <v/>
      </c>
      <c r="L305" t="str">
        <f>IF(OR($I305="Čaká na biznis",$J305="Biznis",$J305="Švédsky biznis"),"ÁNO","")</f>
        <v/>
      </c>
      <c r="N305" s="2"/>
      <c r="O305" s="3"/>
      <c r="Q305"/>
      <c r="R305" s="3"/>
      <c r="S305" s="3"/>
      <c r="T305"/>
      <c r="U305"/>
      <c r="V305"/>
      <c r="W305"/>
      <c r="Z305"/>
      <c r="AA305"/>
      <c r="AD305"/>
    </row>
    <row r="306" spans="11:30" ht="18" customHeight="1">
      <c r="K306" t="str">
        <f>IF(OR($I306="Čaká na integráciu",$J306="Integrácia"),"ÁNO","")</f>
        <v/>
      </c>
      <c r="L306" t="str">
        <f>IF(OR($I306="Čaká na biznis",$J306="Biznis",$J306="Švédsky biznis"),"ÁNO","")</f>
        <v/>
      </c>
      <c r="N306" s="2"/>
      <c r="O306" s="3"/>
      <c r="Q306"/>
      <c r="R306" s="3"/>
      <c r="S306" s="3"/>
      <c r="T306"/>
      <c r="U306"/>
      <c r="V306"/>
      <c r="W306"/>
      <c r="Z306"/>
      <c r="AA306"/>
      <c r="AD306"/>
    </row>
    <row r="307" spans="11:30" ht="18" customHeight="1">
      <c r="K307" t="str">
        <f>IF(OR($I307="Čaká na integráciu",$J307="Integrácia"),"ÁNO","")</f>
        <v/>
      </c>
      <c r="L307" t="str">
        <f>IF(OR($I307="Čaká na biznis",$J307="Biznis",$J307="Švédsky biznis"),"ÁNO","")</f>
        <v/>
      </c>
      <c r="N307" s="2"/>
      <c r="O307" s="3"/>
      <c r="Q307"/>
      <c r="R307" s="3"/>
      <c r="S307" s="3"/>
      <c r="T307"/>
      <c r="U307"/>
      <c r="V307"/>
      <c r="W307"/>
      <c r="Z307"/>
      <c r="AA307"/>
      <c r="AD307"/>
    </row>
    <row r="308" spans="11:30" ht="18" customHeight="1">
      <c r="K308" t="str">
        <f>IF(OR($I308="Čaká na integráciu",$J308="Integrácia"),"ÁNO","")</f>
        <v/>
      </c>
      <c r="L308" t="str">
        <f>IF(OR($I308="Čaká na biznis",$J308="Biznis",$J308="Švédsky biznis"),"ÁNO","")</f>
        <v/>
      </c>
      <c r="N308" s="2"/>
      <c r="O308" s="3"/>
      <c r="Q308"/>
      <c r="R308" s="3"/>
      <c r="S308" s="3"/>
      <c r="T308"/>
      <c r="U308"/>
      <c r="V308"/>
      <c r="W308"/>
      <c r="Z308"/>
      <c r="AA308"/>
      <c r="AD308"/>
    </row>
    <row r="309" spans="11:30" ht="18" customHeight="1">
      <c r="K309" t="str">
        <f>IF(OR($I309="Čaká na integráciu",$J309="Integrácia"),"ÁNO","")</f>
        <v/>
      </c>
      <c r="L309" t="str">
        <f>IF(OR($I309="Čaká na biznis",$J309="Biznis",$J309="Švédsky biznis"),"ÁNO","")</f>
        <v/>
      </c>
      <c r="N309" s="2"/>
      <c r="O309" s="3"/>
      <c r="Q309"/>
      <c r="R309" s="3"/>
      <c r="S309" s="3"/>
      <c r="T309"/>
      <c r="U309"/>
      <c r="V309"/>
      <c r="W309"/>
      <c r="Z309"/>
      <c r="AA309"/>
      <c r="AD309"/>
    </row>
    <row r="310" spans="11:30" ht="18" customHeight="1">
      <c r="K310" t="str">
        <f>IF(OR($I310="Čaká na integráciu",$J310="Integrácia"),"ÁNO","")</f>
        <v/>
      </c>
      <c r="L310" t="str">
        <f>IF(OR($I310="Čaká na biznis",$J310="Biznis",$J310="Švédsky biznis"),"ÁNO","")</f>
        <v/>
      </c>
      <c r="N310" s="2"/>
      <c r="O310" s="3"/>
      <c r="Q310"/>
      <c r="R310" s="3"/>
      <c r="S310" s="3"/>
      <c r="T310"/>
      <c r="U310"/>
      <c r="V310"/>
      <c r="W310"/>
      <c r="Z310"/>
      <c r="AA310"/>
      <c r="AD310"/>
    </row>
    <row r="311" spans="11:30" ht="18" customHeight="1">
      <c r="K311" t="str">
        <f>IF(OR($I311="Čaká na integráciu",$J311="Integrácia"),"ÁNO","")</f>
        <v/>
      </c>
      <c r="L311" t="str">
        <f>IF(OR($I311="Čaká na biznis",$J311="Biznis",$J311="Švédsky biznis"),"ÁNO","")</f>
        <v/>
      </c>
      <c r="N311" s="2"/>
      <c r="O311" s="3"/>
      <c r="Q311"/>
      <c r="R311" s="3"/>
      <c r="S311" s="3"/>
      <c r="T311"/>
      <c r="U311"/>
      <c r="V311"/>
      <c r="W311"/>
      <c r="Z311"/>
      <c r="AA311"/>
      <c r="AD311"/>
    </row>
    <row r="312" spans="11:30" ht="18" customHeight="1">
      <c r="K312" t="str">
        <f>IF(OR($I312="Čaká na integráciu",$J312="Integrácia"),"ÁNO","")</f>
        <v/>
      </c>
      <c r="L312" t="str">
        <f>IF(OR($I312="Čaká na biznis",$J312="Biznis",$J312="Švédsky biznis"),"ÁNO","")</f>
        <v/>
      </c>
      <c r="N312" s="2"/>
      <c r="O312" s="3"/>
      <c r="Q312"/>
      <c r="R312" s="3"/>
      <c r="S312" s="3"/>
      <c r="T312"/>
      <c r="U312"/>
      <c r="V312"/>
      <c r="W312"/>
      <c r="Z312"/>
      <c r="AA312"/>
      <c r="AD312"/>
    </row>
    <row r="313" spans="11:30" ht="18" customHeight="1">
      <c r="K313" t="str">
        <f>IF(OR($I313="Čaká na integráciu",$J313="Integrácia"),"ÁNO","")</f>
        <v/>
      </c>
      <c r="L313" t="str">
        <f>IF(OR($I313="Čaká na biznis",$J313="Biznis",$J313="Švédsky biznis"),"ÁNO","")</f>
        <v/>
      </c>
      <c r="N313" s="2"/>
      <c r="O313" s="3"/>
      <c r="Q313"/>
      <c r="R313" s="3"/>
      <c r="S313" s="3"/>
      <c r="T313"/>
      <c r="U313"/>
      <c r="V313"/>
      <c r="W313"/>
      <c r="Z313"/>
      <c r="AA313"/>
      <c r="AD313"/>
    </row>
    <row r="314" spans="11:30" ht="18" customHeight="1">
      <c r="K314" t="str">
        <f>IF(OR($I314="Čaká na integráciu",$J314="Integrácia"),"ÁNO","")</f>
        <v/>
      </c>
      <c r="L314" t="str">
        <f>IF(OR($I314="Čaká na biznis",$J314="Biznis",$J314="Švédsky biznis"),"ÁNO","")</f>
        <v/>
      </c>
      <c r="N314" s="2"/>
      <c r="O314" s="3"/>
      <c r="Q314"/>
      <c r="R314" s="3"/>
      <c r="S314" s="3"/>
      <c r="T314"/>
      <c r="U314"/>
      <c r="V314"/>
      <c r="W314"/>
      <c r="Z314"/>
      <c r="AA314"/>
      <c r="AD314"/>
    </row>
    <row r="315" spans="11:30" ht="18" customHeight="1">
      <c r="K315" t="str">
        <f>IF(OR($I315="Čaká na integráciu",$J315="Integrácia"),"ÁNO","")</f>
        <v/>
      </c>
      <c r="L315" t="str">
        <f>IF(OR($I315="Čaká na biznis",$J315="Biznis",$J315="Švédsky biznis"),"ÁNO","")</f>
        <v/>
      </c>
      <c r="N315" s="2"/>
      <c r="O315" s="3"/>
      <c r="Q315"/>
      <c r="R315" s="3"/>
      <c r="S315" s="3"/>
      <c r="T315"/>
      <c r="U315"/>
      <c r="V315"/>
      <c r="W315"/>
      <c r="Z315"/>
      <c r="AA315"/>
      <c r="AD315"/>
    </row>
    <row r="316" spans="11:30" ht="18" customHeight="1">
      <c r="K316" t="str">
        <f>IF(OR($I316="Čaká na integráciu",$J316="Integrácia"),"ÁNO","")</f>
        <v/>
      </c>
      <c r="L316" t="str">
        <f>IF(OR($I316="Čaká na biznis",$J316="Biznis",$J316="Švédsky biznis"),"ÁNO","")</f>
        <v/>
      </c>
      <c r="N316" s="2"/>
      <c r="O316" s="3"/>
      <c r="Q316"/>
      <c r="R316" s="3"/>
      <c r="S316" s="3"/>
      <c r="T316"/>
      <c r="U316"/>
      <c r="V316"/>
      <c r="W316"/>
      <c r="Z316"/>
      <c r="AA316"/>
      <c r="AD316"/>
    </row>
    <row r="317" spans="11:30" ht="18" customHeight="1">
      <c r="K317" t="str">
        <f>IF(OR($I317="Čaká na integráciu",$J317="Integrácia"),"ÁNO","")</f>
        <v/>
      </c>
      <c r="L317" t="str">
        <f>IF(OR($I317="Čaká na biznis",$J317="Biznis",$J317="Švédsky biznis"),"ÁNO","")</f>
        <v/>
      </c>
      <c r="N317" s="2"/>
      <c r="O317" s="3"/>
      <c r="Q317"/>
      <c r="R317" s="3"/>
      <c r="S317" s="3"/>
      <c r="T317"/>
      <c r="U317"/>
      <c r="V317"/>
      <c r="W317"/>
      <c r="Z317"/>
      <c r="AA317"/>
      <c r="AD317"/>
    </row>
    <row r="318" spans="11:30" ht="18" customHeight="1">
      <c r="K318" t="str">
        <f>IF(OR($I318="Čaká na integráciu",$J318="Integrácia"),"ÁNO","")</f>
        <v/>
      </c>
      <c r="L318" t="str">
        <f>IF(OR($I318="Čaká na biznis",$J318="Biznis",$J318="Švédsky biznis"),"ÁNO","")</f>
        <v/>
      </c>
      <c r="N318" s="2"/>
      <c r="O318" s="3"/>
      <c r="Q318"/>
      <c r="R318" s="3"/>
      <c r="S318" s="3"/>
      <c r="T318"/>
      <c r="U318"/>
      <c r="V318"/>
      <c r="W318"/>
      <c r="Z318"/>
      <c r="AA318"/>
      <c r="AD318"/>
    </row>
    <row r="319" spans="11:30" ht="18" customHeight="1">
      <c r="K319" t="str">
        <f>IF(OR($I319="Čaká na integráciu",$J319="Integrácia"),"ÁNO","")</f>
        <v/>
      </c>
      <c r="L319" t="str">
        <f>IF(OR($I319="Čaká na biznis",$J319="Biznis",$J319="Švédsky biznis"),"ÁNO","")</f>
        <v/>
      </c>
      <c r="N319" s="2"/>
      <c r="O319" s="3"/>
      <c r="Q319"/>
      <c r="R319" s="3"/>
      <c r="S319" s="3"/>
      <c r="T319"/>
      <c r="U319"/>
      <c r="V319"/>
      <c r="W319"/>
      <c r="Z319"/>
      <c r="AA319"/>
      <c r="AD319"/>
    </row>
    <row r="320" spans="11:30" ht="18" customHeight="1">
      <c r="K320" t="str">
        <f>IF(OR($I320="Čaká na integráciu",$J320="Integrácia"),"ÁNO","")</f>
        <v/>
      </c>
      <c r="L320" t="str">
        <f>IF(OR($I320="Čaká na biznis",$J320="Biznis",$J320="Švédsky biznis"),"ÁNO","")</f>
        <v/>
      </c>
      <c r="N320" s="2"/>
      <c r="O320" s="3"/>
      <c r="Q320"/>
      <c r="R320" s="3"/>
      <c r="S320" s="3"/>
      <c r="T320"/>
      <c r="U320"/>
      <c r="V320"/>
      <c r="W320"/>
      <c r="Z320"/>
      <c r="AA320"/>
      <c r="AD320"/>
    </row>
    <row r="321" spans="11:30" ht="18" customHeight="1">
      <c r="K321" t="str">
        <f>IF(OR($I321="Čaká na integráciu",$J321="Integrácia"),"ÁNO","")</f>
        <v/>
      </c>
      <c r="L321" t="str">
        <f>IF(OR($I321="Čaká na biznis",$J321="Biznis",$J321="Švédsky biznis"),"ÁNO","")</f>
        <v/>
      </c>
      <c r="N321" s="2"/>
      <c r="O321" s="3"/>
      <c r="Q321"/>
      <c r="R321" s="3"/>
      <c r="S321" s="3"/>
      <c r="T321"/>
      <c r="U321"/>
      <c r="V321"/>
      <c r="W321"/>
      <c r="Z321"/>
      <c r="AA321"/>
      <c r="AD321"/>
    </row>
    <row r="322" spans="11:30" ht="18" customHeight="1">
      <c r="K322" t="str">
        <f>IF(OR($I322="Čaká na integráciu",$J322="Integrácia"),"ÁNO","")</f>
        <v/>
      </c>
      <c r="L322" t="str">
        <f>IF(OR($I322="Čaká na biznis",$J322="Biznis",$J322="Švédsky biznis"),"ÁNO","")</f>
        <v/>
      </c>
      <c r="N322" s="2"/>
      <c r="O322" s="3"/>
      <c r="Q322"/>
      <c r="R322" s="3"/>
      <c r="S322" s="3"/>
      <c r="T322"/>
      <c r="U322"/>
      <c r="V322"/>
      <c r="W322"/>
      <c r="Z322"/>
      <c r="AA322"/>
      <c r="AD322"/>
    </row>
    <row r="323" spans="11:30" ht="18" customHeight="1">
      <c r="K323" t="str">
        <f>IF(OR($I323="Čaká na integráciu",$J323="Integrácia"),"ÁNO","")</f>
        <v/>
      </c>
      <c r="L323" t="str">
        <f>IF(OR($I323="Čaká na biznis",$J323="Biznis",$J323="Švédsky biznis"),"ÁNO","")</f>
        <v/>
      </c>
      <c r="N323" s="2"/>
      <c r="O323" s="3"/>
      <c r="Q323"/>
      <c r="R323" s="3"/>
      <c r="S323" s="3"/>
      <c r="T323"/>
      <c r="U323"/>
      <c r="V323"/>
      <c r="W323"/>
      <c r="Z323"/>
      <c r="AA323"/>
      <c r="AD323"/>
    </row>
    <row r="324" spans="11:30" ht="18" customHeight="1">
      <c r="K324" t="str">
        <f>IF(OR($I324="Čaká na integráciu",$J324="Integrácia"),"ÁNO","")</f>
        <v/>
      </c>
      <c r="L324" t="str">
        <f>IF(OR($I324="Čaká na biznis",$J324="Biznis",$J324="Švédsky biznis"),"ÁNO","")</f>
        <v/>
      </c>
      <c r="N324" s="2"/>
      <c r="O324" s="3"/>
      <c r="Q324"/>
      <c r="R324" s="3"/>
      <c r="S324" s="3"/>
      <c r="T324"/>
      <c r="U324"/>
      <c r="V324"/>
      <c r="W324"/>
      <c r="Z324"/>
      <c r="AA324"/>
      <c r="AD324"/>
    </row>
    <row r="325" spans="11:30" ht="18" customHeight="1">
      <c r="K325" t="str">
        <f>IF(OR($I325="Čaká na integráciu",$J325="Integrácia"),"ÁNO","")</f>
        <v/>
      </c>
      <c r="L325" t="str">
        <f>IF(OR($I325="Čaká na biznis",$J325="Biznis",$J325="Švédsky biznis"),"ÁNO","")</f>
        <v/>
      </c>
      <c r="N325" s="2"/>
      <c r="O325" s="3"/>
      <c r="Q325"/>
      <c r="R325" s="3"/>
      <c r="S325" s="3"/>
      <c r="T325"/>
      <c r="U325"/>
      <c r="V325"/>
      <c r="W325"/>
      <c r="Z325"/>
      <c r="AA325"/>
      <c r="AD325"/>
    </row>
    <row r="326" spans="11:30" ht="18" customHeight="1">
      <c r="K326" t="str">
        <f>IF(OR($I326="Čaká na integráciu",$J326="Integrácia"),"ÁNO","")</f>
        <v/>
      </c>
      <c r="L326" t="str">
        <f>IF(OR($I326="Čaká na biznis",$J326="Biznis",$J326="Švédsky biznis"),"ÁNO","")</f>
        <v/>
      </c>
      <c r="N326" s="2"/>
      <c r="O326" s="3"/>
      <c r="Q326"/>
      <c r="R326" s="3"/>
      <c r="S326" s="3"/>
      <c r="T326"/>
      <c r="U326"/>
      <c r="V326"/>
      <c r="W326"/>
      <c r="Z326"/>
      <c r="AA326"/>
      <c r="AD326"/>
    </row>
    <row r="327" spans="11:30" ht="18" customHeight="1">
      <c r="K327" t="str">
        <f>IF(OR($I327="Čaká na integráciu",$J327="Integrácia"),"ÁNO","")</f>
        <v/>
      </c>
      <c r="L327" t="str">
        <f>IF(OR($I327="Čaká na biznis",$J327="Biznis",$J327="Švédsky biznis"),"ÁNO","")</f>
        <v/>
      </c>
      <c r="N327" s="2"/>
      <c r="O327" s="3"/>
      <c r="Q327"/>
      <c r="R327" s="3"/>
      <c r="S327" s="3"/>
      <c r="T327"/>
      <c r="U327"/>
      <c r="V327"/>
      <c r="W327"/>
      <c r="Z327"/>
      <c r="AA327"/>
      <c r="AD327"/>
    </row>
    <row r="328" spans="11:30" ht="18" customHeight="1">
      <c r="K328" t="str">
        <f>IF(OR($I328="Čaká na integráciu",$J328="Integrácia"),"ÁNO","")</f>
        <v/>
      </c>
      <c r="L328" t="str">
        <f>IF(OR($I328="Čaká na biznis",$J328="Biznis",$J328="Švédsky biznis"),"ÁNO","")</f>
        <v/>
      </c>
      <c r="N328" s="2"/>
      <c r="O328" s="3"/>
      <c r="Q328"/>
      <c r="R328" s="3"/>
      <c r="S328" s="3"/>
      <c r="T328"/>
      <c r="U328"/>
      <c r="V328"/>
      <c r="W328"/>
      <c r="Z328"/>
      <c r="AA328"/>
      <c r="AD328"/>
    </row>
    <row r="329" spans="11:30" ht="18" customHeight="1">
      <c r="K329" t="str">
        <f>IF(OR($I329="Čaká na integráciu",$J329="Integrácia"),"ÁNO","")</f>
        <v/>
      </c>
      <c r="L329" t="str">
        <f>IF(OR($I329="Čaká na biznis",$J329="Biznis",$J329="Švédsky biznis"),"ÁNO","")</f>
        <v/>
      </c>
      <c r="N329" s="2"/>
      <c r="O329" s="3"/>
      <c r="Q329"/>
      <c r="R329" s="3"/>
      <c r="S329" s="3"/>
      <c r="T329"/>
      <c r="U329"/>
      <c r="V329"/>
      <c r="W329"/>
      <c r="Z329"/>
      <c r="AA329"/>
      <c r="AD329"/>
    </row>
    <row r="330" spans="11:30" ht="18" customHeight="1">
      <c r="K330" t="str">
        <f>IF(OR($I330="Čaká na integráciu",$J330="Integrácia"),"ÁNO","")</f>
        <v/>
      </c>
      <c r="L330" t="str">
        <f>IF(OR($I330="Čaká na biznis",$J330="Biznis",$J330="Švédsky biznis"),"ÁNO","")</f>
        <v/>
      </c>
      <c r="N330" s="2"/>
      <c r="O330" s="3"/>
      <c r="Q330"/>
      <c r="R330" s="3"/>
      <c r="S330" s="3"/>
      <c r="T330"/>
      <c r="U330"/>
      <c r="V330"/>
      <c r="W330"/>
      <c r="Z330"/>
      <c r="AA330"/>
      <c r="AD330"/>
    </row>
    <row r="331" spans="11:30" ht="18" customHeight="1">
      <c r="K331" t="str">
        <f>IF(OR($I331="Čaká na integráciu",$J331="Integrácia"),"ÁNO","")</f>
        <v/>
      </c>
      <c r="L331" t="str">
        <f>IF(OR($I331="Čaká na biznis",$J331="Biznis",$J331="Švédsky biznis"),"ÁNO","")</f>
        <v/>
      </c>
      <c r="N331" s="2"/>
      <c r="O331" s="3"/>
      <c r="Q331"/>
      <c r="R331" s="3"/>
      <c r="S331" s="3"/>
      <c r="T331"/>
      <c r="U331"/>
      <c r="V331"/>
      <c r="W331"/>
      <c r="Z331"/>
      <c r="AA331"/>
      <c r="AD331"/>
    </row>
    <row r="332" spans="11:30" ht="18" customHeight="1">
      <c r="K332" t="str">
        <f>IF(OR($I332="Čaká na integráciu",$J332="Integrácia"),"ÁNO","")</f>
        <v/>
      </c>
      <c r="L332" t="str">
        <f>IF(OR($I332="Čaká na biznis",$J332="Biznis",$J332="Švédsky biznis"),"ÁNO","")</f>
        <v/>
      </c>
      <c r="N332" s="2"/>
      <c r="O332" s="3"/>
      <c r="Q332"/>
      <c r="R332" s="3"/>
      <c r="S332" s="3"/>
      <c r="T332"/>
      <c r="U332"/>
      <c r="V332"/>
      <c r="W332"/>
      <c r="Z332"/>
      <c r="AA332"/>
      <c r="AD332"/>
    </row>
    <row r="333" spans="11:30" ht="18" customHeight="1">
      <c r="K333" t="str">
        <f>IF(OR($I333="Čaká na integráciu",$J333="Integrácia"),"ÁNO","")</f>
        <v/>
      </c>
      <c r="L333" t="str">
        <f>IF(OR($I333="Čaká na biznis",$J333="Biznis",$J333="Švédsky biznis"),"ÁNO","")</f>
        <v/>
      </c>
      <c r="N333" s="2"/>
      <c r="O333" s="3"/>
      <c r="Q333"/>
      <c r="R333" s="3"/>
      <c r="S333" s="3"/>
      <c r="T333"/>
      <c r="U333"/>
      <c r="V333"/>
      <c r="W333"/>
      <c r="Z333"/>
      <c r="AA333"/>
      <c r="AD333"/>
    </row>
    <row r="334" spans="11:30" ht="18" customHeight="1">
      <c r="K334" t="str">
        <f>IF(OR($I334="Čaká na integráciu",$J334="Integrácia"),"ÁNO","")</f>
        <v/>
      </c>
      <c r="L334" t="str">
        <f>IF(OR($I334="Čaká na biznis",$J334="Biznis",$J334="Švédsky biznis"),"ÁNO","")</f>
        <v/>
      </c>
      <c r="N334" s="2"/>
      <c r="O334" s="3"/>
      <c r="Q334"/>
      <c r="R334" s="3"/>
      <c r="S334" s="3"/>
      <c r="T334"/>
      <c r="U334"/>
      <c r="V334"/>
      <c r="W334"/>
      <c r="Z334"/>
      <c r="AA334"/>
      <c r="AD334"/>
    </row>
    <row r="335" spans="11:30" ht="18" customHeight="1">
      <c r="K335" t="str">
        <f>IF(OR($I335="Čaká na integráciu",$J335="Integrácia"),"ÁNO","")</f>
        <v/>
      </c>
      <c r="L335" t="str">
        <f>IF(OR($I335="Čaká na biznis",$J335="Biznis",$J335="Švédsky biznis"),"ÁNO","")</f>
        <v/>
      </c>
      <c r="N335" s="2"/>
      <c r="O335" s="3"/>
      <c r="Q335"/>
      <c r="R335" s="3"/>
      <c r="S335" s="3"/>
      <c r="T335"/>
      <c r="U335"/>
      <c r="V335"/>
      <c r="W335"/>
      <c r="Z335"/>
      <c r="AA335"/>
      <c r="AD335"/>
    </row>
    <row r="336" spans="11:30" ht="18" customHeight="1">
      <c r="K336" t="str">
        <f>IF(OR($I336="Čaká na integráciu",$J336="Integrácia"),"ÁNO","")</f>
        <v/>
      </c>
      <c r="L336" t="str">
        <f>IF(OR($I336="Čaká na biznis",$J336="Biznis",$J336="Švédsky biznis"),"ÁNO","")</f>
        <v/>
      </c>
      <c r="N336" s="2"/>
      <c r="O336" s="3"/>
      <c r="Q336"/>
      <c r="R336" s="3"/>
      <c r="S336" s="3"/>
      <c r="T336"/>
      <c r="U336"/>
      <c r="V336"/>
      <c r="W336"/>
      <c r="Z336"/>
      <c r="AA336"/>
      <c r="AD336"/>
    </row>
    <row r="337" spans="11:30" ht="18" customHeight="1">
      <c r="K337" t="str">
        <f>IF(OR($I337="Čaká na integráciu",$J337="Integrácia"),"ÁNO","")</f>
        <v/>
      </c>
      <c r="L337" t="str">
        <f>IF(OR($I337="Čaká na biznis",$J337="Biznis",$J337="Švédsky biznis"),"ÁNO","")</f>
        <v/>
      </c>
      <c r="N337" s="2"/>
      <c r="O337" s="3"/>
      <c r="Q337"/>
      <c r="R337" s="3"/>
      <c r="S337" s="3"/>
      <c r="T337"/>
      <c r="U337"/>
      <c r="V337"/>
      <c r="W337"/>
      <c r="Z337"/>
      <c r="AA337"/>
      <c r="AD337"/>
    </row>
    <row r="338" spans="11:30" ht="18" customHeight="1">
      <c r="K338" t="str">
        <f>IF(OR($I338="Čaká na integráciu",$J338="Integrácia"),"ÁNO","")</f>
        <v/>
      </c>
      <c r="L338" t="str">
        <f>IF(OR($I338="Čaká na biznis",$J338="Biznis",$J338="Švédsky biznis"),"ÁNO","")</f>
        <v/>
      </c>
      <c r="N338" s="2"/>
      <c r="O338" s="3"/>
      <c r="Q338"/>
      <c r="R338" s="3"/>
      <c r="S338" s="3"/>
      <c r="T338"/>
      <c r="U338"/>
      <c r="V338"/>
      <c r="W338"/>
      <c r="Z338"/>
      <c r="AA338"/>
      <c r="AD338"/>
    </row>
    <row r="339" spans="11:30" ht="18" customHeight="1">
      <c r="K339" t="str">
        <f>IF(OR($I339="Čaká na integráciu",$J339="Integrácia"),"ÁNO","")</f>
        <v/>
      </c>
      <c r="L339" t="str">
        <f>IF(OR($I339="Čaká na biznis",$J339="Biznis",$J339="Švédsky biznis"),"ÁNO","")</f>
        <v/>
      </c>
      <c r="N339" s="2"/>
      <c r="O339" s="3"/>
      <c r="Q339"/>
      <c r="R339" s="3"/>
      <c r="S339" s="3"/>
      <c r="T339"/>
      <c r="U339"/>
      <c r="V339"/>
      <c r="W339"/>
      <c r="Z339"/>
      <c r="AA339"/>
      <c r="AD339"/>
    </row>
    <row r="340" spans="11:30" ht="18" customHeight="1">
      <c r="K340" t="str">
        <f>IF(OR($I340="Čaká na integráciu",$J340="Integrácia"),"ÁNO","")</f>
        <v/>
      </c>
      <c r="L340" t="str">
        <f>IF(OR($I340="Čaká na biznis",$J340="Biznis",$J340="Švédsky biznis"),"ÁNO","")</f>
        <v/>
      </c>
      <c r="N340" s="2"/>
      <c r="O340" s="3"/>
      <c r="Q340"/>
      <c r="R340" s="3"/>
      <c r="S340" s="3"/>
      <c r="T340"/>
      <c r="U340"/>
      <c r="V340"/>
      <c r="W340"/>
      <c r="Z340"/>
      <c r="AA340"/>
      <c r="AD340"/>
    </row>
    <row r="341" spans="11:30" ht="18" customHeight="1">
      <c r="K341" t="str">
        <f>IF(OR($I341="Čaká na integráciu",$J341="Integrácia"),"ÁNO","")</f>
        <v/>
      </c>
      <c r="L341" t="str">
        <f>IF(OR($I341="Čaká na biznis",$J341="Biznis",$J341="Švédsky biznis"),"ÁNO","")</f>
        <v/>
      </c>
      <c r="N341" s="2"/>
      <c r="O341" s="3"/>
      <c r="Q341"/>
      <c r="R341" s="3"/>
      <c r="S341" s="3"/>
      <c r="T341"/>
      <c r="U341"/>
      <c r="V341"/>
      <c r="W341"/>
      <c r="Z341"/>
      <c r="AA341"/>
      <c r="AD341"/>
    </row>
    <row r="342" spans="11:30" ht="18" customHeight="1">
      <c r="K342" t="str">
        <f>IF(OR($I342="Čaká na integráciu",$J342="Integrácia"),"ÁNO","")</f>
        <v/>
      </c>
      <c r="L342" t="str">
        <f>IF(OR($I342="Čaká na biznis",$J342="Biznis",$J342="Švédsky biznis"),"ÁNO","")</f>
        <v/>
      </c>
      <c r="N342" s="2"/>
      <c r="O342" s="3"/>
      <c r="Q342"/>
      <c r="R342" s="3"/>
      <c r="S342" s="3"/>
      <c r="T342"/>
      <c r="U342"/>
      <c r="V342"/>
      <c r="W342"/>
      <c r="Z342"/>
      <c r="AA342"/>
      <c r="AD342"/>
    </row>
    <row r="343" spans="11:30" ht="18" customHeight="1">
      <c r="K343" t="str">
        <f>IF(OR($I343="Čaká na integráciu",$J343="Integrácia"),"ÁNO","")</f>
        <v/>
      </c>
      <c r="L343" t="str">
        <f>IF(OR($I343="Čaká na biznis",$J343="Biznis",$J343="Švédsky biznis"),"ÁNO","")</f>
        <v/>
      </c>
      <c r="N343" s="2"/>
      <c r="O343" s="3"/>
      <c r="Q343"/>
      <c r="R343" s="3"/>
      <c r="S343" s="3"/>
      <c r="T343"/>
      <c r="U343"/>
      <c r="V343"/>
      <c r="W343"/>
      <c r="Z343"/>
      <c r="AA343"/>
      <c r="AD343"/>
    </row>
    <row r="344" spans="11:30" ht="18" customHeight="1">
      <c r="K344" t="str">
        <f>IF(OR($I344="Čaká na integráciu",$J344="Integrácia"),"ÁNO","")</f>
        <v/>
      </c>
      <c r="L344" t="str">
        <f>IF(OR($I344="Čaká na biznis",$J344="Biznis",$J344="Švédsky biznis"),"ÁNO","")</f>
        <v/>
      </c>
      <c r="N344" s="2"/>
      <c r="O344" s="3"/>
      <c r="Q344"/>
      <c r="R344" s="3"/>
      <c r="S344" s="3"/>
      <c r="T344"/>
      <c r="U344"/>
      <c r="V344"/>
      <c r="W344"/>
      <c r="Z344"/>
      <c r="AA344"/>
      <c r="AD344"/>
    </row>
    <row r="345" spans="11:30" ht="18" customHeight="1">
      <c r="K345" t="str">
        <f>IF(OR($I345="Čaká na integráciu",$J345="Integrácia"),"ÁNO","")</f>
        <v/>
      </c>
      <c r="L345" t="str">
        <f>IF(OR($I345="Čaká na biznis",$J345="Biznis",$J345="Švédsky biznis"),"ÁNO","")</f>
        <v/>
      </c>
      <c r="N345" s="2"/>
      <c r="O345" s="3"/>
      <c r="Q345"/>
      <c r="R345" s="3"/>
      <c r="S345" s="3"/>
      <c r="T345"/>
      <c r="U345"/>
      <c r="V345"/>
      <c r="W345"/>
      <c r="Z345"/>
      <c r="AA345"/>
      <c r="AD345"/>
    </row>
    <row r="346" spans="11:30" ht="18" customHeight="1">
      <c r="K346" t="str">
        <f>IF(OR($I346="Čaká na integráciu",$J346="Integrácia"),"ÁNO","")</f>
        <v/>
      </c>
      <c r="L346" t="str">
        <f>IF(OR($I346="Čaká na biznis",$J346="Biznis",$J346="Švédsky biznis"),"ÁNO","")</f>
        <v/>
      </c>
      <c r="N346" s="2"/>
      <c r="O346" s="3"/>
      <c r="Q346"/>
      <c r="R346" s="3"/>
      <c r="S346" s="3"/>
      <c r="T346"/>
      <c r="U346"/>
      <c r="V346"/>
      <c r="W346"/>
      <c r="Z346"/>
      <c r="AA346"/>
      <c r="AD346"/>
    </row>
    <row r="347" spans="11:30" ht="18" customHeight="1">
      <c r="K347" t="str">
        <f>IF(OR($I347="Čaká na integráciu",$J347="Integrácia"),"ÁNO","")</f>
        <v/>
      </c>
      <c r="L347" t="str">
        <f>IF(OR($I347="Čaká na biznis",$J347="Biznis",$J347="Švédsky biznis"),"ÁNO","")</f>
        <v/>
      </c>
      <c r="N347" s="2"/>
      <c r="O347" s="3"/>
      <c r="Q347"/>
      <c r="R347" s="3"/>
      <c r="S347" s="3"/>
      <c r="T347"/>
      <c r="U347"/>
      <c r="V347"/>
      <c r="W347"/>
      <c r="Z347"/>
      <c r="AA347"/>
      <c r="AD347"/>
    </row>
    <row r="348" spans="11:30" ht="18" customHeight="1">
      <c r="K348" t="str">
        <f>IF(OR($I348="Čaká na integráciu",$J348="Integrácia"),"ÁNO","")</f>
        <v/>
      </c>
      <c r="L348" t="str">
        <f>IF(OR($I348="Čaká na biznis",$J348="Biznis",$J348="Švédsky biznis"),"ÁNO","")</f>
        <v/>
      </c>
      <c r="N348" s="2"/>
      <c r="O348" s="3"/>
      <c r="Q348"/>
      <c r="R348" s="3"/>
      <c r="S348" s="3"/>
      <c r="T348"/>
      <c r="U348"/>
      <c r="V348"/>
      <c r="W348"/>
      <c r="Z348"/>
      <c r="AA348"/>
      <c r="AD348"/>
    </row>
    <row r="349" spans="11:30" ht="18" customHeight="1">
      <c r="K349" t="str">
        <f>IF(OR($I349="Čaká na integráciu",$J349="Integrácia"),"ÁNO","")</f>
        <v/>
      </c>
      <c r="L349" t="str">
        <f>IF(OR($I349="Čaká na biznis",$J349="Biznis",$J349="Švédsky biznis"),"ÁNO","")</f>
        <v/>
      </c>
      <c r="N349" s="2"/>
      <c r="O349" s="3"/>
      <c r="Q349"/>
      <c r="R349" s="3"/>
      <c r="S349" s="3"/>
      <c r="T349"/>
      <c r="U349"/>
      <c r="V349"/>
      <c r="W349"/>
      <c r="Z349"/>
      <c r="AA349"/>
      <c r="AD349"/>
    </row>
    <row r="350" spans="11:30" ht="18" customHeight="1">
      <c r="K350" t="str">
        <f>IF(OR($I350="Čaká na integráciu",$J350="Integrácia"),"ÁNO","")</f>
        <v/>
      </c>
      <c r="L350" t="str">
        <f>IF(OR($I350="Čaká na biznis",$J350="Biznis",$J350="Švédsky biznis"),"ÁNO","")</f>
        <v/>
      </c>
      <c r="N350" s="2"/>
      <c r="O350" s="3"/>
      <c r="Q350"/>
      <c r="R350" s="3"/>
      <c r="S350" s="3"/>
      <c r="T350"/>
      <c r="U350"/>
      <c r="V350"/>
      <c r="W350"/>
      <c r="Z350"/>
      <c r="AA350"/>
      <c r="AD350"/>
    </row>
    <row r="351" spans="11:30" ht="18" customHeight="1">
      <c r="K351" t="str">
        <f>IF(OR($I351="Čaká na integráciu",$J351="Integrácia"),"ÁNO","")</f>
        <v/>
      </c>
      <c r="L351" t="str">
        <f>IF(OR($I351="Čaká na biznis",$J351="Biznis",$J351="Švédsky biznis"),"ÁNO","")</f>
        <v/>
      </c>
      <c r="N351" s="2"/>
      <c r="O351" s="3"/>
      <c r="Q351"/>
      <c r="R351" s="3"/>
      <c r="S351" s="3"/>
      <c r="T351"/>
      <c r="U351"/>
      <c r="V351"/>
      <c r="W351"/>
      <c r="Z351"/>
      <c r="AA351"/>
      <c r="AD351"/>
    </row>
    <row r="352" spans="11:30" ht="18" customHeight="1">
      <c r="K352" t="str">
        <f>IF(OR($I352="Čaká na integráciu",$J352="Integrácia"),"ÁNO","")</f>
        <v/>
      </c>
      <c r="L352" t="str">
        <f>IF(OR($I352="Čaká na biznis",$J352="Biznis",$J352="Švédsky biznis"),"ÁNO","")</f>
        <v/>
      </c>
      <c r="N352" s="2"/>
      <c r="O352" s="3"/>
      <c r="Q352"/>
      <c r="R352" s="3"/>
      <c r="S352" s="3"/>
      <c r="T352"/>
      <c r="U352"/>
      <c r="V352"/>
      <c r="W352"/>
      <c r="Z352"/>
      <c r="AA352"/>
      <c r="AD352"/>
    </row>
    <row r="353" spans="11:30" ht="18" customHeight="1">
      <c r="K353" t="str">
        <f>IF(OR($I353="Čaká na integráciu",$J353="Integrácia"),"ÁNO","")</f>
        <v/>
      </c>
      <c r="L353" t="str">
        <f>IF(OR($I353="Čaká na biznis",$J353="Biznis",$J353="Švédsky biznis"),"ÁNO","")</f>
        <v/>
      </c>
      <c r="N353" s="2"/>
      <c r="O353" s="3"/>
      <c r="Q353"/>
      <c r="R353" s="3"/>
      <c r="S353" s="3"/>
      <c r="T353"/>
      <c r="U353"/>
      <c r="V353"/>
      <c r="W353"/>
      <c r="Z353"/>
      <c r="AA353"/>
      <c r="AD353"/>
    </row>
    <row r="354" spans="11:30" ht="18" customHeight="1">
      <c r="K354" t="str">
        <f>IF(OR($I354="Čaká na integráciu",$J354="Integrácia"),"ÁNO","")</f>
        <v/>
      </c>
      <c r="L354" t="str">
        <f>IF(OR($I354="Čaká na biznis",$J354="Biznis",$J354="Švédsky biznis"),"ÁNO","")</f>
        <v/>
      </c>
      <c r="N354" s="2"/>
      <c r="O354" s="3"/>
      <c r="Q354"/>
      <c r="R354" s="3"/>
      <c r="S354" s="3"/>
      <c r="T354"/>
      <c r="U354"/>
      <c r="V354"/>
      <c r="W354"/>
      <c r="Z354"/>
      <c r="AA354"/>
      <c r="AD354"/>
    </row>
    <row r="355" spans="11:30" ht="18" customHeight="1">
      <c r="K355" t="str">
        <f>IF(OR($I355="Čaká na integráciu",$J355="Integrácia"),"ÁNO","")</f>
        <v/>
      </c>
      <c r="L355" t="str">
        <f>IF(OR($I355="Čaká na biznis",$J355="Biznis",$J355="Švédsky biznis"),"ÁNO","")</f>
        <v/>
      </c>
      <c r="N355" s="2"/>
      <c r="O355" s="3"/>
      <c r="Q355"/>
      <c r="R355" s="3"/>
      <c r="S355" s="3"/>
      <c r="T355"/>
      <c r="U355"/>
      <c r="V355"/>
      <c r="W355"/>
      <c r="Z355"/>
      <c r="AA355"/>
      <c r="AD355"/>
    </row>
    <row r="356" spans="11:30" ht="18" customHeight="1">
      <c r="K356" t="str">
        <f>IF(OR($I356="Čaká na integráciu",$J356="Integrácia"),"ÁNO","")</f>
        <v/>
      </c>
      <c r="L356" t="str">
        <f>IF(OR($I356="Čaká na biznis",$J356="Biznis",$J356="Švédsky biznis"),"ÁNO","")</f>
        <v/>
      </c>
      <c r="N356" s="2"/>
      <c r="O356" s="3"/>
      <c r="Q356"/>
      <c r="R356" s="3"/>
      <c r="S356" s="3"/>
      <c r="T356"/>
      <c r="U356"/>
      <c r="V356"/>
      <c r="W356"/>
      <c r="Z356"/>
      <c r="AA356"/>
      <c r="AD356"/>
    </row>
    <row r="357" spans="11:30" ht="18" customHeight="1">
      <c r="K357" t="str">
        <f>IF(OR($I357="Čaká na integráciu",$J357="Integrácia"),"ÁNO","")</f>
        <v/>
      </c>
      <c r="L357" t="str">
        <f>IF(OR($I357="Čaká na biznis",$J357="Biznis",$J357="Švédsky biznis"),"ÁNO","")</f>
        <v/>
      </c>
      <c r="N357" s="2"/>
      <c r="O357" s="3"/>
      <c r="Q357"/>
      <c r="R357" s="3"/>
      <c r="S357" s="3"/>
      <c r="T357"/>
      <c r="U357"/>
      <c r="V357"/>
      <c r="W357"/>
      <c r="Z357"/>
      <c r="AA357"/>
      <c r="AD357"/>
    </row>
    <row r="358" spans="11:30" ht="18" customHeight="1">
      <c r="K358" t="str">
        <f>IF(OR($I358="Čaká na integráciu",$J358="Integrácia"),"ÁNO","")</f>
        <v/>
      </c>
      <c r="L358" t="str">
        <f>IF(OR($I358="Čaká na biznis",$J358="Biznis",$J358="Švédsky biznis"),"ÁNO","")</f>
        <v/>
      </c>
      <c r="N358" s="2"/>
      <c r="O358" s="3"/>
      <c r="Q358"/>
      <c r="R358" s="3"/>
      <c r="S358" s="3"/>
      <c r="T358"/>
      <c r="U358"/>
      <c r="V358"/>
      <c r="W358"/>
      <c r="Z358"/>
      <c r="AA358"/>
      <c r="AD358"/>
    </row>
    <row r="359" spans="11:30" ht="18" customHeight="1">
      <c r="K359" t="str">
        <f>IF(OR($I359="Čaká na integráciu",$J359="Integrácia"),"ÁNO","")</f>
        <v/>
      </c>
      <c r="L359" t="str">
        <f>IF(OR($I359="Čaká na biznis",$J359="Biznis",$J359="Švédsky biznis"),"ÁNO","")</f>
        <v/>
      </c>
      <c r="N359" s="2"/>
      <c r="O359" s="3"/>
      <c r="Q359"/>
      <c r="R359" s="3"/>
      <c r="S359" s="3"/>
      <c r="T359"/>
      <c r="U359"/>
      <c r="V359"/>
      <c r="W359"/>
      <c r="Z359"/>
      <c r="AA359"/>
      <c r="AD359"/>
    </row>
    <row r="360" spans="11:30" ht="18" customHeight="1">
      <c r="K360" t="str">
        <f>IF(OR($I360="Čaká na integráciu",$J360="Integrácia"),"ÁNO","")</f>
        <v/>
      </c>
      <c r="L360" t="str">
        <f>IF(OR($I360="Čaká na biznis",$J360="Biznis",$J360="Švédsky biznis"),"ÁNO","")</f>
        <v/>
      </c>
      <c r="N360" s="2"/>
      <c r="O360" s="3"/>
      <c r="Q360"/>
      <c r="R360" s="3"/>
      <c r="S360" s="3"/>
      <c r="T360"/>
      <c r="U360"/>
      <c r="V360"/>
      <c r="W360"/>
      <c r="Z360"/>
      <c r="AA360"/>
      <c r="AD360"/>
    </row>
    <row r="361" spans="11:30" ht="18" customHeight="1">
      <c r="K361" t="str">
        <f>IF(OR($I361="Čaká na integráciu",$J361="Integrácia"),"ÁNO","")</f>
        <v/>
      </c>
      <c r="L361" t="str">
        <f>IF(OR($I361="Čaká na biznis",$J361="Biznis",$J361="Švédsky biznis"),"ÁNO","")</f>
        <v/>
      </c>
      <c r="N361" s="2"/>
      <c r="O361" s="3"/>
      <c r="Q361"/>
      <c r="R361" s="3"/>
      <c r="S361" s="3"/>
      <c r="T361"/>
      <c r="U361"/>
      <c r="V361"/>
      <c r="W361"/>
      <c r="Z361"/>
      <c r="AA361"/>
      <c r="AD361"/>
    </row>
    <row r="362" spans="11:30" ht="18" customHeight="1">
      <c r="K362" t="str">
        <f>IF(OR($I362="Čaká na integráciu",$J362="Integrácia"),"ÁNO","")</f>
        <v/>
      </c>
      <c r="L362" t="str">
        <f>IF(OR($I362="Čaká na biznis",$J362="Biznis",$J362="Švédsky biznis"),"ÁNO","")</f>
        <v/>
      </c>
      <c r="N362" s="2"/>
      <c r="O362" s="3"/>
      <c r="Q362"/>
      <c r="R362" s="3"/>
      <c r="S362" s="3"/>
      <c r="T362"/>
      <c r="U362"/>
      <c r="V362"/>
      <c r="W362"/>
      <c r="Z362"/>
      <c r="AA362"/>
      <c r="AD362"/>
    </row>
    <row r="363" spans="11:30" ht="18" customHeight="1">
      <c r="K363" t="str">
        <f>IF(OR($I363="Čaká na integráciu",$J363="Integrácia"),"ÁNO","")</f>
        <v/>
      </c>
      <c r="L363" t="str">
        <f>IF(OR($I363="Čaká na biznis",$J363="Biznis",$J363="Švédsky biznis"),"ÁNO","")</f>
        <v/>
      </c>
      <c r="N363" s="2"/>
      <c r="O363" s="3"/>
      <c r="Q363"/>
      <c r="R363" s="3"/>
      <c r="S363" s="3"/>
      <c r="T363"/>
      <c r="U363"/>
      <c r="V363"/>
      <c r="W363"/>
      <c r="Z363"/>
      <c r="AA363"/>
      <c r="AD363"/>
    </row>
    <row r="364" spans="11:30" ht="18" customHeight="1">
      <c r="K364" t="str">
        <f>IF(OR($I364="Čaká na integráciu",$J364="Integrácia"),"ÁNO","")</f>
        <v/>
      </c>
      <c r="L364" t="str">
        <f>IF(OR($I364="Čaká na biznis",$J364="Biznis",$J364="Švédsky biznis"),"ÁNO","")</f>
        <v/>
      </c>
      <c r="N364" s="2"/>
      <c r="O364" s="3"/>
      <c r="Q364"/>
      <c r="R364" s="3"/>
      <c r="S364" s="3"/>
      <c r="T364"/>
      <c r="U364"/>
      <c r="V364"/>
      <c r="W364"/>
      <c r="Z364"/>
      <c r="AA364"/>
      <c r="AD364"/>
    </row>
    <row r="365" spans="11:30" ht="18" customHeight="1">
      <c r="K365" t="str">
        <f>IF(OR($I365="Čaká na integráciu",$J365="Integrácia"),"ÁNO","")</f>
        <v/>
      </c>
      <c r="L365" t="str">
        <f>IF(OR($I365="Čaká na biznis",$J365="Biznis",$J365="Švédsky biznis"),"ÁNO","")</f>
        <v/>
      </c>
      <c r="N365" s="2"/>
      <c r="O365" s="3"/>
      <c r="Q365"/>
      <c r="R365" s="3"/>
      <c r="S365" s="3"/>
      <c r="T365"/>
      <c r="U365"/>
      <c r="V365"/>
      <c r="W365"/>
      <c r="Z365"/>
      <c r="AA365"/>
      <c r="AD365"/>
    </row>
    <row r="366" spans="11:30" ht="18" customHeight="1">
      <c r="K366" t="str">
        <f>IF(OR($I366="Čaká na integráciu",$J366="Integrácia"),"ÁNO","")</f>
        <v/>
      </c>
      <c r="L366" t="str">
        <f>IF(OR($I366="Čaká na biznis",$J366="Biznis",$J366="Švédsky biznis"),"ÁNO","")</f>
        <v/>
      </c>
      <c r="N366" s="2"/>
      <c r="O366" s="3"/>
      <c r="Q366"/>
      <c r="R366" s="3"/>
      <c r="S366" s="3"/>
      <c r="T366"/>
      <c r="U366"/>
      <c r="V366"/>
      <c r="W366"/>
      <c r="Z366"/>
      <c r="AA366"/>
      <c r="AD366"/>
    </row>
    <row r="367" spans="11:30" ht="18" customHeight="1">
      <c r="K367" t="str">
        <f>IF(OR($I367="Čaká na integráciu",$J367="Integrácia"),"ÁNO","")</f>
        <v/>
      </c>
      <c r="L367" t="str">
        <f>IF(OR($I367="Čaká na biznis",$J367="Biznis",$J367="Švédsky biznis"),"ÁNO","")</f>
        <v/>
      </c>
      <c r="N367" s="2"/>
      <c r="O367" s="3"/>
      <c r="Q367"/>
      <c r="R367" s="3"/>
      <c r="S367" s="3"/>
      <c r="T367"/>
      <c r="U367"/>
      <c r="V367"/>
      <c r="W367"/>
      <c r="Z367"/>
      <c r="AA367"/>
      <c r="AD367"/>
    </row>
    <row r="368" spans="11:30" ht="18" customHeight="1">
      <c r="K368" t="str">
        <f>IF(OR($I368="Čaká na integráciu",$J368="Integrácia"),"ÁNO","")</f>
        <v/>
      </c>
      <c r="L368" t="str">
        <f>IF(OR($I368="Čaká na biznis",$J368="Biznis",$J368="Švédsky biznis"),"ÁNO","")</f>
        <v/>
      </c>
      <c r="N368" s="2"/>
      <c r="O368" s="3"/>
      <c r="Q368"/>
      <c r="R368" s="3"/>
      <c r="S368" s="3"/>
      <c r="T368"/>
      <c r="U368"/>
      <c r="V368"/>
      <c r="W368"/>
      <c r="Z368"/>
      <c r="AA368"/>
      <c r="AD368"/>
    </row>
    <row r="369" spans="11:30" ht="18" customHeight="1">
      <c r="K369" t="str">
        <f>IF(OR($I369="Čaká na integráciu",$J369="Integrácia"),"ÁNO","")</f>
        <v/>
      </c>
      <c r="L369" t="str">
        <f>IF(OR($I369="Čaká na biznis",$J369="Biznis",$J369="Švédsky biznis"),"ÁNO","")</f>
        <v/>
      </c>
      <c r="N369" s="2"/>
      <c r="O369" s="3"/>
      <c r="Q369"/>
      <c r="R369" s="3"/>
      <c r="S369" s="3"/>
      <c r="T369"/>
      <c r="U369"/>
      <c r="V369"/>
      <c r="W369"/>
      <c r="Z369"/>
      <c r="AA369"/>
      <c r="AD369"/>
    </row>
    <row r="370" spans="11:30" ht="18" customHeight="1">
      <c r="K370" t="str">
        <f>IF(OR($I370="Čaká na integráciu",$J370="Integrácia"),"ÁNO","")</f>
        <v/>
      </c>
      <c r="L370" t="str">
        <f>IF(OR($I370="Čaká na biznis",$J370="Biznis",$J370="Švédsky biznis"),"ÁNO","")</f>
        <v/>
      </c>
      <c r="N370" s="2"/>
      <c r="O370" s="3"/>
      <c r="Q370"/>
      <c r="R370" s="3"/>
      <c r="S370" s="3"/>
      <c r="T370"/>
      <c r="U370"/>
      <c r="V370"/>
      <c r="W370"/>
      <c r="Z370"/>
      <c r="AA370"/>
      <c r="AD370"/>
    </row>
    <row r="371" spans="11:30" ht="18" customHeight="1">
      <c r="K371" t="str">
        <f>IF(OR($I371="Čaká na integráciu",$J371="Integrácia"),"ÁNO","")</f>
        <v/>
      </c>
      <c r="L371" t="str">
        <f>IF(OR($I371="Čaká na biznis",$J371="Biznis",$J371="Švédsky biznis"),"ÁNO","")</f>
        <v/>
      </c>
      <c r="N371" s="2"/>
      <c r="O371" s="3"/>
      <c r="Q371"/>
      <c r="R371" s="3"/>
      <c r="S371" s="3"/>
      <c r="T371"/>
      <c r="U371"/>
      <c r="V371"/>
      <c r="W371"/>
      <c r="Z371"/>
      <c r="AA371"/>
      <c r="AD371"/>
    </row>
    <row r="372" spans="11:30" ht="18" customHeight="1">
      <c r="K372" t="str">
        <f>IF(OR($I372="Čaká na integráciu",$J372="Integrácia"),"ÁNO","")</f>
        <v/>
      </c>
      <c r="L372" t="str">
        <f>IF(OR($I372="Čaká na biznis",$J372="Biznis",$J372="Švédsky biznis"),"ÁNO","")</f>
        <v/>
      </c>
      <c r="N372" s="2"/>
      <c r="O372" s="3"/>
      <c r="Q372"/>
      <c r="R372" s="3"/>
      <c r="S372" s="3"/>
      <c r="T372"/>
      <c r="U372"/>
      <c r="V372"/>
      <c r="W372"/>
      <c r="Z372"/>
      <c r="AA372"/>
      <c r="AD372"/>
    </row>
    <row r="373" spans="11:30" ht="18" customHeight="1">
      <c r="K373" t="str">
        <f>IF(OR($I373="Čaká na integráciu",$J373="Integrácia"),"ÁNO","")</f>
        <v/>
      </c>
      <c r="L373" t="str">
        <f>IF(OR($I373="Čaká na biznis",$J373="Biznis",$J373="Švédsky biznis"),"ÁNO","")</f>
        <v/>
      </c>
      <c r="N373" s="2"/>
      <c r="O373" s="3"/>
      <c r="Q373"/>
      <c r="R373" s="3"/>
      <c r="S373" s="3"/>
      <c r="T373"/>
      <c r="U373"/>
      <c r="V373"/>
      <c r="W373"/>
      <c r="Z373"/>
      <c r="AA373"/>
      <c r="AD373"/>
    </row>
    <row r="374" spans="11:30" ht="18" customHeight="1">
      <c r="K374" t="str">
        <f>IF(OR($I374="Čaká na integráciu",$J374="Integrácia"),"ÁNO","")</f>
        <v/>
      </c>
      <c r="L374" t="str">
        <f>IF(OR($I374="Čaká na biznis",$J374="Biznis",$J374="Švédsky biznis"),"ÁNO","")</f>
        <v/>
      </c>
      <c r="N374" s="2"/>
      <c r="O374" s="3"/>
      <c r="Q374"/>
      <c r="R374" s="3"/>
      <c r="S374" s="3"/>
      <c r="T374"/>
      <c r="U374"/>
      <c r="V374"/>
      <c r="W374"/>
      <c r="Z374"/>
      <c r="AA374"/>
      <c r="AD374"/>
    </row>
    <row r="375" spans="11:30" ht="18" customHeight="1">
      <c r="K375" t="str">
        <f>IF(OR($I375="Čaká na integráciu",$J375="Integrácia"),"ÁNO","")</f>
        <v/>
      </c>
      <c r="L375" t="str">
        <f>IF(OR($I375="Čaká na biznis",$J375="Biznis",$J375="Švédsky biznis"),"ÁNO","")</f>
        <v/>
      </c>
      <c r="N375" s="2"/>
      <c r="O375" s="3"/>
      <c r="Q375"/>
      <c r="R375" s="3"/>
      <c r="S375" s="3"/>
      <c r="T375"/>
      <c r="U375"/>
      <c r="V375"/>
      <c r="W375"/>
      <c r="Z375"/>
      <c r="AA375"/>
      <c r="AD375"/>
    </row>
    <row r="376" spans="11:30" ht="18" customHeight="1">
      <c r="K376" t="str">
        <f>IF(OR($I376="Čaká na integráciu",$J376="Integrácia"),"ÁNO","")</f>
        <v/>
      </c>
      <c r="L376" t="str">
        <f>IF(OR($I376="Čaká na biznis",$J376="Biznis",$J376="Švédsky biznis"),"ÁNO","")</f>
        <v/>
      </c>
      <c r="N376" s="2"/>
      <c r="O376" s="3"/>
      <c r="Q376"/>
      <c r="R376" s="3"/>
      <c r="S376" s="3"/>
      <c r="T376"/>
      <c r="U376"/>
      <c r="V376"/>
      <c r="W376"/>
      <c r="Z376"/>
      <c r="AA376"/>
      <c r="AD376"/>
    </row>
    <row r="377" spans="11:30" ht="18" customHeight="1">
      <c r="K377" t="str">
        <f>IF(OR($I377="Čaká na integráciu",$J377="Integrácia"),"ÁNO","")</f>
        <v/>
      </c>
      <c r="L377" t="str">
        <f>IF(OR($I377="Čaká na biznis",$J377="Biznis",$J377="Švédsky biznis"),"ÁNO","")</f>
        <v/>
      </c>
      <c r="N377" s="2"/>
      <c r="O377" s="3"/>
      <c r="Q377"/>
      <c r="R377" s="3"/>
      <c r="S377" s="3"/>
      <c r="T377"/>
      <c r="U377"/>
      <c r="V377"/>
      <c r="W377"/>
      <c r="Z377"/>
      <c r="AA377"/>
      <c r="AD377"/>
    </row>
    <row r="378" spans="11:30" ht="18" customHeight="1">
      <c r="K378" t="str">
        <f>IF(OR($I378="Čaká na integráciu",$J378="Integrácia"),"ÁNO","")</f>
        <v/>
      </c>
      <c r="L378" t="str">
        <f>IF(OR($I378="Čaká na biznis",$J378="Biznis",$J378="Švédsky biznis"),"ÁNO","")</f>
        <v/>
      </c>
      <c r="N378" s="2"/>
      <c r="O378" s="3"/>
      <c r="Q378"/>
      <c r="R378" s="3"/>
      <c r="S378" s="3"/>
      <c r="T378"/>
      <c r="U378"/>
      <c r="V378"/>
      <c r="W378"/>
      <c r="Z378"/>
      <c r="AA378"/>
      <c r="AD378"/>
    </row>
    <row r="379" spans="11:30" ht="18" customHeight="1">
      <c r="K379" t="str">
        <f>IF(OR($I379="Čaká na integráciu",$J379="Integrácia"),"ÁNO","")</f>
        <v/>
      </c>
      <c r="L379" t="str">
        <f>IF(OR($I379="Čaká na biznis",$J379="Biznis",$J379="Švédsky biznis"),"ÁNO","")</f>
        <v/>
      </c>
      <c r="N379" s="2"/>
      <c r="O379" s="3"/>
      <c r="Q379"/>
      <c r="R379" s="3"/>
      <c r="S379" s="3"/>
      <c r="T379"/>
      <c r="U379"/>
      <c r="V379"/>
      <c r="W379"/>
      <c r="Z379"/>
      <c r="AA379"/>
      <c r="AD379"/>
    </row>
    <row r="380" spans="11:30" ht="18" customHeight="1">
      <c r="K380" t="str">
        <f>IF(OR($I380="Čaká na integráciu",$J380="Integrácia"),"ÁNO","")</f>
        <v/>
      </c>
      <c r="L380" t="str">
        <f>IF(OR($I380="Čaká na biznis",$J380="Biznis",$J380="Švédsky biznis"),"ÁNO","")</f>
        <v/>
      </c>
      <c r="N380" s="2"/>
      <c r="O380" s="3"/>
      <c r="Q380"/>
      <c r="R380" s="3"/>
      <c r="S380" s="3"/>
      <c r="T380"/>
      <c r="U380"/>
      <c r="V380"/>
      <c r="W380"/>
      <c r="Z380"/>
      <c r="AA380"/>
      <c r="AD380"/>
    </row>
    <row r="381" spans="11:30" ht="18" customHeight="1">
      <c r="K381" t="str">
        <f>IF(OR($I381="Čaká na integráciu",$J381="Integrácia"),"ÁNO","")</f>
        <v/>
      </c>
      <c r="L381" t="str">
        <f>IF(OR($I381="Čaká na biznis",$J381="Biznis",$J381="Švédsky biznis"),"ÁNO","")</f>
        <v/>
      </c>
      <c r="N381" s="2"/>
      <c r="O381" s="3"/>
      <c r="Q381"/>
      <c r="R381" s="3"/>
      <c r="S381" s="3"/>
      <c r="T381"/>
      <c r="U381"/>
      <c r="V381"/>
      <c r="W381"/>
      <c r="Z381"/>
      <c r="AA381"/>
      <c r="AD381"/>
    </row>
    <row r="382" spans="11:30" ht="18" customHeight="1">
      <c r="K382" t="str">
        <f>IF(OR($I382="Čaká na integráciu",$J382="Integrácia"),"ÁNO","")</f>
        <v/>
      </c>
      <c r="L382" t="str">
        <f>IF(OR($I382="Čaká na biznis",$J382="Biznis",$J382="Švédsky biznis"),"ÁNO","")</f>
        <v/>
      </c>
      <c r="N382" s="2"/>
      <c r="O382" s="3"/>
      <c r="Q382"/>
      <c r="R382" s="3"/>
      <c r="S382" s="3"/>
      <c r="T382"/>
      <c r="U382"/>
      <c r="V382"/>
      <c r="W382"/>
      <c r="Z382"/>
      <c r="AA382"/>
      <c r="AD382"/>
    </row>
    <row r="383" spans="11:30" ht="18" customHeight="1">
      <c r="K383" t="str">
        <f>IF(OR($I383="Čaká na integráciu",$J383="Integrácia"),"ÁNO","")</f>
        <v/>
      </c>
      <c r="L383" t="str">
        <f>IF(OR($I383="Čaká na biznis",$J383="Biznis",$J383="Švédsky biznis"),"ÁNO","")</f>
        <v/>
      </c>
      <c r="N383" s="2"/>
      <c r="O383" s="3"/>
      <c r="Q383"/>
      <c r="R383" s="3"/>
      <c r="S383" s="3"/>
      <c r="T383"/>
      <c r="U383"/>
      <c r="V383"/>
      <c r="W383"/>
      <c r="Z383"/>
      <c r="AA383"/>
      <c r="AD383"/>
    </row>
    <row r="384" spans="11:30" ht="18" customHeight="1">
      <c r="K384" t="str">
        <f>IF(OR($I384="Čaká na integráciu",$J384="Integrácia"),"ÁNO","")</f>
        <v/>
      </c>
      <c r="L384" t="str">
        <f>IF(OR($I384="Čaká na biznis",$J384="Biznis",$J384="Švédsky biznis"),"ÁNO","")</f>
        <v/>
      </c>
      <c r="N384" s="2"/>
      <c r="O384" s="3"/>
      <c r="Q384"/>
      <c r="R384" s="3"/>
      <c r="S384" s="3"/>
      <c r="T384"/>
      <c r="U384"/>
      <c r="V384"/>
      <c r="W384"/>
      <c r="Z384"/>
      <c r="AA384"/>
      <c r="AD384"/>
    </row>
    <row r="385" spans="11:30" ht="18" customHeight="1">
      <c r="K385" t="str">
        <f>IF(OR($I385="Čaká na integráciu",$J385="Integrácia"),"ÁNO","")</f>
        <v/>
      </c>
      <c r="L385" t="str">
        <f>IF(OR($I385="Čaká na biznis",$J385="Biznis",$J385="Švédsky biznis"),"ÁNO","")</f>
        <v/>
      </c>
      <c r="N385" s="2"/>
      <c r="O385" s="3"/>
      <c r="Q385"/>
      <c r="R385" s="3"/>
      <c r="S385" s="3"/>
      <c r="T385"/>
      <c r="U385"/>
      <c r="V385"/>
      <c r="W385"/>
      <c r="Z385"/>
      <c r="AA385"/>
      <c r="AD385"/>
    </row>
    <row r="386" spans="11:30" ht="18" customHeight="1">
      <c r="K386" t="str">
        <f>IF(OR($I386="Čaká na integráciu",$J386="Integrácia"),"ÁNO","")</f>
        <v/>
      </c>
      <c r="L386" t="str">
        <f>IF(OR($I386="Čaká na biznis",$J386="Biznis",$J386="Švédsky biznis"),"ÁNO","")</f>
        <v/>
      </c>
      <c r="N386" s="2"/>
      <c r="O386" s="3"/>
      <c r="Q386"/>
      <c r="R386" s="3"/>
      <c r="S386" s="3"/>
      <c r="T386"/>
      <c r="U386"/>
      <c r="V386"/>
      <c r="W386"/>
      <c r="Z386"/>
      <c r="AA386"/>
      <c r="AD386"/>
    </row>
    <row r="387" spans="11:30" ht="18" customHeight="1">
      <c r="K387" t="str">
        <f>IF(OR($I387="Čaká na integráciu",$J387="Integrácia"),"ÁNO","")</f>
        <v/>
      </c>
      <c r="L387" t="str">
        <f>IF(OR($I387="Čaká na biznis",$J387="Biznis",$J387="Švédsky biznis"),"ÁNO","")</f>
        <v/>
      </c>
      <c r="N387" s="2"/>
      <c r="O387" s="3"/>
      <c r="Q387"/>
      <c r="R387" s="3"/>
      <c r="S387" s="3"/>
      <c r="T387"/>
      <c r="U387"/>
      <c r="V387"/>
      <c r="W387"/>
      <c r="Z387"/>
      <c r="AA387"/>
      <c r="AD387"/>
    </row>
    <row r="388" spans="11:30" ht="18" customHeight="1">
      <c r="K388" t="str">
        <f>IF(OR($I388="Čaká na integráciu",$J388="Integrácia"),"ÁNO","")</f>
        <v/>
      </c>
      <c r="L388" t="str">
        <f>IF(OR($I388="Čaká na biznis",$J388="Biznis",$J388="Švédsky biznis"),"ÁNO","")</f>
        <v/>
      </c>
      <c r="N388" s="2"/>
      <c r="O388" s="3"/>
      <c r="Q388"/>
      <c r="R388" s="3"/>
      <c r="S388" s="3"/>
      <c r="T388"/>
      <c r="U388"/>
      <c r="V388"/>
      <c r="W388"/>
      <c r="Z388"/>
      <c r="AA388"/>
      <c r="AD388"/>
    </row>
    <row r="389" spans="11:30" ht="18" customHeight="1">
      <c r="K389" t="str">
        <f>IF(OR($I389="Čaká na integráciu",$J389="Integrácia"),"ÁNO","")</f>
        <v/>
      </c>
      <c r="L389" t="str">
        <f>IF(OR($I389="Čaká na biznis",$J389="Biznis",$J389="Švédsky biznis"),"ÁNO","")</f>
        <v/>
      </c>
      <c r="N389" s="2"/>
      <c r="O389" s="3"/>
      <c r="Q389"/>
      <c r="R389" s="3"/>
      <c r="S389" s="3"/>
      <c r="T389"/>
      <c r="U389"/>
      <c r="V389"/>
      <c r="W389"/>
      <c r="Z389"/>
      <c r="AA389"/>
      <c r="AD389"/>
    </row>
    <row r="390" spans="11:30" ht="18" customHeight="1">
      <c r="K390" t="str">
        <f>IF(OR($I390="Čaká na integráciu",$J390="Integrácia"),"ÁNO","")</f>
        <v/>
      </c>
      <c r="L390" t="str">
        <f>IF(OR($I390="Čaká na biznis",$J390="Biznis",$J390="Švédsky biznis"),"ÁNO","")</f>
        <v/>
      </c>
      <c r="N390" s="2"/>
      <c r="O390" s="3"/>
      <c r="Q390"/>
      <c r="R390" s="3"/>
      <c r="S390" s="3"/>
      <c r="T390"/>
      <c r="U390"/>
      <c r="V390"/>
      <c r="W390"/>
      <c r="Z390"/>
      <c r="AA390"/>
      <c r="AD390"/>
    </row>
    <row r="391" spans="11:30" ht="18" customHeight="1">
      <c r="K391" t="str">
        <f>IF(OR($I391="Čaká na integráciu",$J391="Integrácia"),"ÁNO","")</f>
        <v/>
      </c>
      <c r="L391" t="str">
        <f>IF(OR($I391="Čaká na biznis",$J391="Biznis",$J391="Švédsky biznis"),"ÁNO","")</f>
        <v/>
      </c>
      <c r="N391" s="2"/>
      <c r="O391" s="3"/>
      <c r="Q391"/>
      <c r="R391" s="3"/>
      <c r="S391" s="3"/>
      <c r="T391"/>
      <c r="U391"/>
      <c r="V391"/>
      <c r="W391"/>
      <c r="Z391"/>
      <c r="AA391"/>
      <c r="AD391"/>
    </row>
    <row r="392" spans="11:30" ht="18" customHeight="1">
      <c r="K392" t="str">
        <f>IF(OR($I392="Čaká na integráciu",$J392="Integrácia"),"ÁNO","")</f>
        <v/>
      </c>
      <c r="L392" t="str">
        <f>IF(OR($I392="Čaká na biznis",$J392="Biznis",$J392="Švédsky biznis"),"ÁNO","")</f>
        <v/>
      </c>
      <c r="N392" s="2"/>
      <c r="O392" s="3"/>
      <c r="Q392"/>
      <c r="R392" s="3"/>
      <c r="S392" s="3"/>
      <c r="T392"/>
      <c r="U392"/>
      <c r="V392"/>
      <c r="W392"/>
      <c r="Z392"/>
      <c r="AA392"/>
      <c r="AD392"/>
    </row>
    <row r="393" spans="11:30" ht="18" customHeight="1">
      <c r="K393" t="str">
        <f>IF(OR($I393="Čaká na integráciu",$J393="Integrácia"),"ÁNO","")</f>
        <v/>
      </c>
      <c r="L393" t="str">
        <f>IF(OR($I393="Čaká na biznis",$J393="Biznis",$J393="Švédsky biznis"),"ÁNO","")</f>
        <v/>
      </c>
      <c r="N393" s="2"/>
      <c r="O393" s="3"/>
      <c r="Q393"/>
      <c r="R393" s="3"/>
      <c r="S393" s="3"/>
      <c r="T393"/>
      <c r="U393"/>
      <c r="V393"/>
      <c r="W393"/>
      <c r="Z393"/>
      <c r="AA393"/>
      <c r="AD393"/>
    </row>
    <row r="394" spans="11:30" ht="18" customHeight="1">
      <c r="K394" t="str">
        <f>IF(OR($I394="Čaká na integráciu",$J394="Integrácia"),"ÁNO","")</f>
        <v/>
      </c>
      <c r="L394" t="str">
        <f>IF(OR($I394="Čaká na biznis",$J394="Biznis",$J394="Švédsky biznis"),"ÁNO","")</f>
        <v/>
      </c>
      <c r="N394" s="2"/>
      <c r="O394" s="3"/>
      <c r="Q394"/>
      <c r="R394" s="3"/>
      <c r="S394" s="3"/>
      <c r="T394"/>
      <c r="U394"/>
      <c r="V394"/>
      <c r="W394"/>
      <c r="Z394"/>
      <c r="AA394"/>
      <c r="AD394"/>
    </row>
    <row r="395" spans="11:30" ht="18" customHeight="1">
      <c r="K395" t="str">
        <f>IF(OR($I395="Čaká na integráciu",$J395="Integrácia"),"ÁNO","")</f>
        <v/>
      </c>
      <c r="L395" t="str">
        <f>IF(OR($I395="Čaká na biznis",$J395="Biznis",$J395="Švédsky biznis"),"ÁNO","")</f>
        <v/>
      </c>
      <c r="N395" s="2"/>
      <c r="O395" s="3"/>
      <c r="Q395"/>
      <c r="R395" s="3"/>
      <c r="S395" s="3"/>
      <c r="T395"/>
      <c r="U395"/>
      <c r="V395"/>
      <c r="W395"/>
      <c r="Z395"/>
      <c r="AA395"/>
      <c r="AD395"/>
    </row>
    <row r="396" spans="11:30" ht="18" customHeight="1">
      <c r="K396" t="str">
        <f>IF(OR($I396="Čaká na integráciu",$J396="Integrácia"),"ÁNO","")</f>
        <v/>
      </c>
      <c r="L396" t="str">
        <f>IF(OR($I396="Čaká na biznis",$J396="Biznis",$J396="Švédsky biznis"),"ÁNO","")</f>
        <v/>
      </c>
      <c r="N396" s="2"/>
      <c r="O396" s="3"/>
      <c r="Q396"/>
      <c r="R396" s="3"/>
      <c r="S396" s="3"/>
      <c r="T396"/>
      <c r="U396"/>
      <c r="V396"/>
      <c r="W396"/>
      <c r="Z396"/>
      <c r="AA396"/>
      <c r="AD396"/>
    </row>
    <row r="397" spans="11:30" ht="18" customHeight="1">
      <c r="K397" t="str">
        <f>IF(OR($I397="Čaká na integráciu",$J397="Integrácia"),"ÁNO","")</f>
        <v/>
      </c>
      <c r="L397" t="str">
        <f>IF(OR($I397="Čaká na biznis",$J397="Biznis",$J397="Švédsky biznis"),"ÁNO","")</f>
        <v/>
      </c>
      <c r="N397" s="2"/>
      <c r="O397" s="3"/>
      <c r="Q397"/>
      <c r="R397" s="3"/>
      <c r="S397" s="3"/>
      <c r="T397"/>
      <c r="U397"/>
      <c r="V397"/>
      <c r="W397"/>
      <c r="Z397"/>
      <c r="AA397"/>
      <c r="AD397"/>
    </row>
    <row r="398" spans="11:30" ht="18" customHeight="1">
      <c r="K398" t="str">
        <f>IF(OR($I398="Čaká na integráciu",$J398="Integrácia"),"ÁNO","")</f>
        <v/>
      </c>
      <c r="L398" t="str">
        <f>IF(OR($I398="Čaká na biznis",$J398="Biznis",$J398="Švédsky biznis"),"ÁNO","")</f>
        <v/>
      </c>
      <c r="N398" s="2"/>
      <c r="O398" s="3"/>
      <c r="Q398"/>
      <c r="R398" s="3"/>
      <c r="S398" s="3"/>
      <c r="T398"/>
      <c r="U398"/>
      <c r="V398"/>
      <c r="W398"/>
      <c r="Z398"/>
      <c r="AA398"/>
      <c r="AD398"/>
    </row>
    <row r="399" spans="11:30" ht="18" customHeight="1">
      <c r="K399" t="str">
        <f>IF(OR($I399="Čaká na integráciu",$J399="Integrácia"),"ÁNO","")</f>
        <v/>
      </c>
      <c r="L399" t="str">
        <f>IF(OR($I399="Čaká na biznis",$J399="Biznis",$J399="Švédsky biznis"),"ÁNO","")</f>
        <v/>
      </c>
      <c r="N399" s="2"/>
      <c r="O399" s="3"/>
      <c r="Q399"/>
      <c r="R399" s="3"/>
      <c r="S399" s="3"/>
      <c r="T399"/>
      <c r="U399"/>
      <c r="V399"/>
      <c r="W399"/>
      <c r="Z399"/>
      <c r="AA399"/>
      <c r="AD399"/>
    </row>
    <row r="400" spans="11:30" ht="18" customHeight="1">
      <c r="K400" t="str">
        <f>IF(OR($I400="Čaká na integráciu",$J400="Integrácia"),"ÁNO","")</f>
        <v/>
      </c>
      <c r="L400" t="str">
        <f>IF(OR($I400="Čaká na biznis",$J400="Biznis",$J400="Švédsky biznis"),"ÁNO","")</f>
        <v/>
      </c>
      <c r="N400" s="2"/>
      <c r="O400" s="3"/>
      <c r="Q400"/>
      <c r="R400" s="3"/>
      <c r="S400" s="3"/>
      <c r="T400"/>
      <c r="U400"/>
      <c r="V400"/>
      <c r="W400"/>
      <c r="Z400"/>
      <c r="AA400"/>
      <c r="AD400"/>
    </row>
    <row r="401" spans="11:30" ht="18" customHeight="1">
      <c r="K401" t="str">
        <f>IF(OR($I401="Čaká na integráciu",$J401="Integrácia"),"ÁNO","")</f>
        <v/>
      </c>
      <c r="L401" t="str">
        <f>IF(OR($I401="Čaká na biznis",$J401="Biznis",$J401="Švédsky biznis"),"ÁNO","")</f>
        <v/>
      </c>
      <c r="N401" s="2"/>
      <c r="O401" s="3"/>
      <c r="Q401"/>
      <c r="R401" s="3"/>
      <c r="S401" s="3"/>
      <c r="T401"/>
      <c r="U401"/>
      <c r="V401"/>
      <c r="W401"/>
      <c r="Z401"/>
      <c r="AA401"/>
      <c r="AD401"/>
    </row>
    <row r="402" spans="11:30" ht="18" customHeight="1">
      <c r="K402" t="str">
        <f>IF(OR($I402="Čaká na integráciu",$J402="Integrácia"),"ÁNO","")</f>
        <v/>
      </c>
      <c r="L402" t="str">
        <f>IF(OR($I402="Čaká na biznis",$J402="Biznis",$J402="Švédsky biznis"),"ÁNO","")</f>
        <v/>
      </c>
      <c r="N402" s="2"/>
      <c r="O402" s="3"/>
      <c r="Q402"/>
      <c r="R402" s="3"/>
      <c r="S402" s="3"/>
      <c r="T402"/>
      <c r="U402"/>
      <c r="V402"/>
      <c r="W402"/>
      <c r="Z402"/>
      <c r="AA402"/>
      <c r="AD402"/>
    </row>
    <row r="403" spans="11:30" ht="18" customHeight="1">
      <c r="K403" t="str">
        <f>IF(OR($I403="Čaká na integráciu",$J403="Integrácia"),"ÁNO","")</f>
        <v/>
      </c>
      <c r="L403" t="str">
        <f>IF(OR($I403="Čaká na biznis",$J403="Biznis",$J403="Švédsky biznis"),"ÁNO","")</f>
        <v/>
      </c>
      <c r="N403" s="2"/>
      <c r="O403" s="3"/>
      <c r="Q403"/>
      <c r="R403" s="3"/>
      <c r="S403" s="3"/>
      <c r="T403"/>
      <c r="U403"/>
      <c r="V403"/>
      <c r="W403"/>
      <c r="Z403"/>
      <c r="AA403"/>
      <c r="AD403"/>
    </row>
    <row r="404" spans="11:30" ht="18" customHeight="1">
      <c r="K404" t="str">
        <f>IF(OR($I404="Čaká na integráciu",$J404="Integrácia"),"ÁNO","")</f>
        <v/>
      </c>
      <c r="L404" t="str">
        <f>IF(OR($I404="Čaká na biznis",$J404="Biznis",$J404="Švédsky biznis"),"ÁNO","")</f>
        <v/>
      </c>
      <c r="N404" s="2"/>
      <c r="O404" s="3"/>
      <c r="Q404"/>
      <c r="R404" s="3"/>
      <c r="S404" s="3"/>
      <c r="T404"/>
      <c r="U404"/>
      <c r="V404"/>
      <c r="W404"/>
      <c r="Z404"/>
      <c r="AA404"/>
      <c r="AD404"/>
    </row>
    <row r="405" spans="11:30" ht="18" customHeight="1">
      <c r="K405" t="str">
        <f>IF(OR($I405="Čaká na integráciu",$J405="Integrácia"),"ÁNO","")</f>
        <v/>
      </c>
      <c r="L405" t="str">
        <f>IF(OR($I405="Čaká na biznis",$J405="Biznis",$J405="Švédsky biznis"),"ÁNO","")</f>
        <v/>
      </c>
      <c r="N405" s="2"/>
      <c r="O405" s="3"/>
      <c r="Q405"/>
      <c r="R405" s="3"/>
      <c r="S405" s="3"/>
      <c r="T405"/>
      <c r="U405"/>
      <c r="V405"/>
      <c r="W405"/>
      <c r="Z405"/>
      <c r="AA405"/>
      <c r="AD405"/>
    </row>
    <row r="406" spans="11:30" ht="18" customHeight="1">
      <c r="K406" t="str">
        <f>IF(OR($I406="Čaká na integráciu",$J406="Integrácia"),"ÁNO","")</f>
        <v/>
      </c>
      <c r="L406" t="str">
        <f>IF(OR($I406="Čaká na biznis",$J406="Biznis",$J406="Švédsky biznis"),"ÁNO","")</f>
        <v/>
      </c>
      <c r="N406" s="2"/>
      <c r="O406" s="3"/>
      <c r="Q406"/>
      <c r="R406" s="3"/>
      <c r="S406" s="3"/>
      <c r="T406"/>
      <c r="U406"/>
      <c r="V406"/>
      <c r="W406"/>
      <c r="Z406"/>
      <c r="AA406"/>
      <c r="AD406"/>
    </row>
    <row r="407" spans="11:30" ht="18" customHeight="1">
      <c r="K407" t="str">
        <f>IF(OR($I407="Čaká na integráciu",$J407="Integrácia"),"ÁNO","")</f>
        <v/>
      </c>
      <c r="L407" t="str">
        <f>IF(OR($I407="Čaká na biznis",$J407="Biznis",$J407="Švédsky biznis"),"ÁNO","")</f>
        <v/>
      </c>
      <c r="N407" s="2"/>
      <c r="O407" s="3"/>
      <c r="Q407"/>
      <c r="R407" s="3"/>
      <c r="S407" s="3"/>
      <c r="T407"/>
      <c r="U407"/>
      <c r="V407"/>
      <c r="W407"/>
      <c r="Z407"/>
      <c r="AA407"/>
      <c r="AD407"/>
    </row>
    <row r="408" spans="11:30" ht="18" customHeight="1">
      <c r="K408" t="str">
        <f>IF(OR($I408="Čaká na integráciu",$J408="Integrácia"),"ÁNO","")</f>
        <v/>
      </c>
      <c r="L408" t="str">
        <f>IF(OR($I408="Čaká na biznis",$J408="Biznis",$J408="Švédsky biznis"),"ÁNO","")</f>
        <v/>
      </c>
      <c r="N408" s="2"/>
      <c r="O408" s="3"/>
      <c r="Q408"/>
      <c r="R408" s="3"/>
      <c r="S408" s="3"/>
      <c r="T408"/>
      <c r="U408"/>
      <c r="V408"/>
      <c r="W408"/>
      <c r="Z408"/>
      <c r="AA408"/>
      <c r="AD408"/>
    </row>
    <row r="409" spans="11:30" ht="18" customHeight="1">
      <c r="K409" t="str">
        <f>IF(OR($I409="Čaká na integráciu",$J409="Integrácia"),"ÁNO","")</f>
        <v/>
      </c>
      <c r="L409" t="str">
        <f>IF(OR($I409="Čaká na biznis",$J409="Biznis",$J409="Švédsky biznis"),"ÁNO","")</f>
        <v/>
      </c>
      <c r="N409" s="2"/>
      <c r="O409" s="3"/>
      <c r="Q409"/>
      <c r="R409" s="3"/>
      <c r="S409" s="3"/>
      <c r="T409"/>
      <c r="U409"/>
      <c r="V409"/>
      <c r="W409"/>
      <c r="Z409"/>
      <c r="AA409"/>
      <c r="AD409"/>
    </row>
    <row r="410" spans="11:30" ht="18" customHeight="1">
      <c r="K410" t="str">
        <f>IF(OR($I410="Čaká na integráciu",$J410="Integrácia"),"ÁNO","")</f>
        <v/>
      </c>
      <c r="L410" t="str">
        <f>IF(OR($I410="Čaká na biznis",$J410="Biznis",$J410="Švédsky biznis"),"ÁNO","")</f>
        <v/>
      </c>
      <c r="N410" s="2"/>
      <c r="O410" s="3"/>
      <c r="Q410"/>
      <c r="R410" s="3"/>
      <c r="S410" s="3"/>
      <c r="T410"/>
      <c r="U410"/>
      <c r="V410"/>
      <c r="W410"/>
      <c r="Z410"/>
      <c r="AA410"/>
      <c r="AD410"/>
    </row>
    <row r="411" spans="11:30" ht="18" customHeight="1">
      <c r="K411" t="str">
        <f>IF(OR($I411="Čaká na integráciu",$J411="Integrácia"),"ÁNO","")</f>
        <v/>
      </c>
      <c r="L411" t="str">
        <f>IF(OR($I411="Čaká na biznis",$J411="Biznis",$J411="Švédsky biznis"),"ÁNO","")</f>
        <v/>
      </c>
      <c r="N411" s="2"/>
      <c r="O411" s="3"/>
      <c r="Q411"/>
      <c r="R411" s="3"/>
      <c r="S411" s="3"/>
      <c r="T411"/>
      <c r="U411"/>
      <c r="V411"/>
      <c r="W411"/>
      <c r="Z411"/>
      <c r="AA411"/>
      <c r="AD411"/>
    </row>
    <row r="412" spans="11:30" ht="18" customHeight="1">
      <c r="K412" t="str">
        <f>IF(OR($I412="Čaká na integráciu",$J412="Integrácia"),"ÁNO","")</f>
        <v/>
      </c>
      <c r="L412" t="str">
        <f>IF(OR($I412="Čaká na biznis",$J412="Biznis",$J412="Švédsky biznis"),"ÁNO","")</f>
        <v/>
      </c>
      <c r="N412" s="2"/>
      <c r="O412" s="3"/>
      <c r="Q412"/>
      <c r="R412" s="3"/>
      <c r="S412" s="3"/>
      <c r="T412"/>
      <c r="U412"/>
      <c r="V412"/>
      <c r="W412"/>
      <c r="Z412"/>
      <c r="AA412"/>
      <c r="AD412"/>
    </row>
    <row r="413" spans="11:30" ht="18" customHeight="1">
      <c r="K413" t="str">
        <f>IF(OR($I413="Čaká na integráciu",$J413="Integrácia"),"ÁNO","")</f>
        <v/>
      </c>
      <c r="L413" t="str">
        <f>IF(OR($I413="Čaká na biznis",$J413="Biznis",$J413="Švédsky biznis"),"ÁNO","")</f>
        <v/>
      </c>
      <c r="N413" s="2"/>
      <c r="O413" s="3"/>
      <c r="Q413"/>
      <c r="R413" s="3"/>
      <c r="S413" s="3"/>
      <c r="T413"/>
      <c r="U413"/>
      <c r="V413"/>
      <c r="W413"/>
      <c r="Z413"/>
      <c r="AA413"/>
      <c r="AD413"/>
    </row>
    <row r="414" spans="11:30" ht="18" customHeight="1">
      <c r="K414" t="str">
        <f>IF(OR($I414="Čaká na integráciu",$J414="Integrácia"),"ÁNO","")</f>
        <v/>
      </c>
      <c r="L414" t="str">
        <f>IF(OR($I414="Čaká na biznis",$J414="Biznis",$J414="Švédsky biznis"),"ÁNO","")</f>
        <v/>
      </c>
      <c r="N414" s="2"/>
      <c r="O414" s="3"/>
      <c r="Q414"/>
      <c r="R414" s="3"/>
      <c r="S414" s="3"/>
      <c r="T414"/>
      <c r="U414"/>
      <c r="V414"/>
      <c r="W414"/>
      <c r="Z414"/>
      <c r="AA414"/>
      <c r="AD414"/>
    </row>
    <row r="415" spans="11:30" ht="18" customHeight="1">
      <c r="K415" t="str">
        <f>IF(OR($I415="Čaká na integráciu",$J415="Integrácia"),"ÁNO","")</f>
        <v/>
      </c>
      <c r="L415" t="str">
        <f>IF(OR($I415="Čaká na biznis",$J415="Biznis",$J415="Švédsky biznis"),"ÁNO","")</f>
        <v/>
      </c>
      <c r="N415" s="2"/>
      <c r="O415" s="3"/>
      <c r="Q415"/>
      <c r="R415" s="3"/>
      <c r="S415" s="3"/>
      <c r="T415"/>
      <c r="U415"/>
      <c r="V415"/>
      <c r="W415"/>
      <c r="Z415"/>
      <c r="AA415"/>
      <c r="AD415"/>
    </row>
    <row r="416" spans="11:30" ht="18" customHeight="1">
      <c r="K416" t="str">
        <f>IF(OR($I416="Čaká na integráciu",$J416="Integrácia"),"ÁNO","")</f>
        <v/>
      </c>
      <c r="L416" t="str">
        <f>IF(OR($I416="Čaká na biznis",$J416="Biznis",$J416="Švédsky biznis"),"ÁNO","")</f>
        <v/>
      </c>
      <c r="N416" s="2"/>
      <c r="O416" s="3"/>
      <c r="Q416"/>
      <c r="R416" s="3"/>
      <c r="S416" s="3"/>
      <c r="T416"/>
      <c r="U416"/>
      <c r="V416"/>
      <c r="W416"/>
      <c r="Z416"/>
      <c r="AA416"/>
      <c r="AD416"/>
    </row>
    <row r="417" spans="11:30" ht="18" customHeight="1">
      <c r="K417" t="str">
        <f>IF(OR($I417="Čaká na integráciu",$J417="Integrácia"),"ÁNO","")</f>
        <v/>
      </c>
      <c r="L417" t="str">
        <f>IF(OR($I417="Čaká na biznis",$J417="Biznis",$J417="Švédsky biznis"),"ÁNO","")</f>
        <v/>
      </c>
      <c r="N417" s="2"/>
      <c r="O417" s="3"/>
      <c r="Q417"/>
      <c r="R417" s="3"/>
      <c r="S417" s="3"/>
      <c r="T417"/>
      <c r="U417"/>
      <c r="V417"/>
      <c r="W417"/>
      <c r="Z417"/>
      <c r="AA417"/>
      <c r="AD417"/>
    </row>
    <row r="418" spans="11:30" ht="18" customHeight="1">
      <c r="K418" t="str">
        <f>IF(OR($I418="Čaká na integráciu",$J418="Integrácia"),"ÁNO","")</f>
        <v/>
      </c>
      <c r="L418" t="str">
        <f>IF(OR($I418="Čaká na biznis",$J418="Biznis",$J418="Švédsky biznis"),"ÁNO","")</f>
        <v/>
      </c>
      <c r="N418" s="2"/>
      <c r="O418" s="3"/>
      <c r="Q418"/>
      <c r="R418" s="3"/>
      <c r="S418" s="3"/>
      <c r="T418"/>
      <c r="U418"/>
      <c r="V418"/>
      <c r="W418"/>
      <c r="Z418"/>
      <c r="AA418"/>
      <c r="AD418"/>
    </row>
    <row r="419" spans="11:30" ht="18" customHeight="1">
      <c r="K419" t="str">
        <f>IF(OR($I419="Čaká na integráciu",$J419="Integrácia"),"ÁNO","")</f>
        <v/>
      </c>
      <c r="L419" t="str">
        <f>IF(OR($I419="Čaká na biznis",$J419="Biznis",$J419="Švédsky biznis"),"ÁNO","")</f>
        <v/>
      </c>
      <c r="N419" s="2"/>
      <c r="O419" s="3"/>
      <c r="Q419"/>
      <c r="R419" s="3"/>
      <c r="S419" s="3"/>
      <c r="T419"/>
      <c r="U419"/>
      <c r="V419"/>
      <c r="W419"/>
      <c r="Z419"/>
      <c r="AA419"/>
      <c r="AD419"/>
    </row>
    <row r="420" spans="11:30" ht="18" customHeight="1">
      <c r="K420" t="str">
        <f>IF(OR($I420="Čaká na integráciu",$J420="Integrácia"),"ÁNO","")</f>
        <v/>
      </c>
      <c r="L420" t="str">
        <f>IF(OR($I420="Čaká na biznis",$J420="Biznis",$J420="Švédsky biznis"),"ÁNO","")</f>
        <v/>
      </c>
      <c r="N420" s="2"/>
      <c r="O420" s="3"/>
      <c r="Q420"/>
      <c r="R420" s="3"/>
      <c r="S420" s="3"/>
      <c r="T420"/>
      <c r="U420"/>
      <c r="V420"/>
      <c r="W420"/>
      <c r="Z420"/>
      <c r="AA420"/>
      <c r="AD420"/>
    </row>
    <row r="421" spans="11:30" ht="18" customHeight="1">
      <c r="K421" t="str">
        <f>IF(OR($I421="Čaká na integráciu",$J421="Integrácia"),"ÁNO","")</f>
        <v/>
      </c>
      <c r="L421" t="str">
        <f>IF(OR($I421="Čaká na biznis",$J421="Biznis",$J421="Švédsky biznis"),"ÁNO","")</f>
        <v/>
      </c>
      <c r="N421" s="2"/>
      <c r="O421" s="3"/>
      <c r="Q421"/>
      <c r="R421" s="3"/>
      <c r="S421" s="3"/>
      <c r="T421"/>
      <c r="U421"/>
      <c r="V421"/>
      <c r="W421"/>
      <c r="Z421"/>
      <c r="AA421"/>
      <c r="AD421"/>
    </row>
    <row r="422" spans="11:30" ht="18" customHeight="1">
      <c r="K422" t="str">
        <f>IF(OR($I422="Čaká na integráciu",$J422="Integrácia"),"ÁNO","")</f>
        <v/>
      </c>
      <c r="L422" t="str">
        <f>IF(OR($I422="Čaká na biznis",$J422="Biznis",$J422="Švédsky biznis"),"ÁNO","")</f>
        <v/>
      </c>
      <c r="N422" s="2"/>
      <c r="O422" s="3"/>
      <c r="Q422"/>
      <c r="R422" s="3"/>
      <c r="S422" s="3"/>
      <c r="T422"/>
      <c r="U422"/>
      <c r="V422"/>
      <c r="W422"/>
      <c r="Z422"/>
      <c r="AA422"/>
      <c r="AD422"/>
    </row>
    <row r="423" spans="11:30" ht="18" customHeight="1">
      <c r="K423" t="str">
        <f>IF(OR($I423="Čaká na integráciu",$J423="Integrácia"),"ÁNO","")</f>
        <v/>
      </c>
      <c r="L423" t="str">
        <f>IF(OR($I423="Čaká na biznis",$J423="Biznis",$J423="Švédsky biznis"),"ÁNO","")</f>
        <v/>
      </c>
      <c r="N423" s="2"/>
      <c r="O423" s="3"/>
      <c r="Q423"/>
      <c r="R423" s="3"/>
      <c r="S423" s="3"/>
      <c r="T423"/>
      <c r="U423"/>
      <c r="V423"/>
      <c r="W423"/>
      <c r="Z423"/>
      <c r="AA423"/>
      <c r="AD423"/>
    </row>
    <row r="424" spans="11:30" ht="18" customHeight="1">
      <c r="K424" t="str">
        <f>IF(OR($I424="Čaká na integráciu",$J424="Integrácia"),"ÁNO","")</f>
        <v/>
      </c>
      <c r="L424" t="str">
        <f>IF(OR($I424="Čaká na biznis",$J424="Biznis",$J424="Švédsky biznis"),"ÁNO","")</f>
        <v/>
      </c>
      <c r="N424" s="2"/>
      <c r="O424" s="3"/>
      <c r="Q424"/>
      <c r="R424" s="3"/>
      <c r="S424" s="3"/>
      <c r="T424"/>
      <c r="U424"/>
      <c r="V424"/>
      <c r="W424"/>
      <c r="Z424"/>
      <c r="AA424"/>
      <c r="AD424"/>
    </row>
    <row r="425" spans="11:30" ht="18" customHeight="1">
      <c r="K425" t="str">
        <f>IF(OR($I425="Čaká na integráciu",$J425="Integrácia"),"ÁNO","")</f>
        <v/>
      </c>
      <c r="L425" t="str">
        <f>IF(OR($I425="Čaká na biznis",$J425="Biznis",$J425="Švédsky biznis"),"ÁNO","")</f>
        <v/>
      </c>
      <c r="N425" s="2"/>
      <c r="O425" s="3"/>
      <c r="Q425"/>
      <c r="R425" s="3"/>
      <c r="S425" s="3"/>
      <c r="T425"/>
      <c r="U425"/>
      <c r="V425"/>
      <c r="W425"/>
      <c r="Z425"/>
      <c r="AA425"/>
      <c r="AD425"/>
    </row>
    <row r="426" spans="11:30" ht="18" customHeight="1">
      <c r="K426" t="str">
        <f>IF(OR($I426="Čaká na integráciu",$J426="Integrácia"),"ÁNO","")</f>
        <v/>
      </c>
      <c r="L426" t="str">
        <f>IF(OR($I426="Čaká na biznis",$J426="Biznis",$J426="Švédsky biznis"),"ÁNO","")</f>
        <v/>
      </c>
      <c r="N426" s="2"/>
      <c r="O426" s="3"/>
      <c r="Q426"/>
      <c r="R426" s="3"/>
      <c r="S426" s="3"/>
      <c r="T426"/>
      <c r="U426"/>
      <c r="V426"/>
      <c r="W426"/>
      <c r="Z426"/>
      <c r="AA426"/>
      <c r="AD426"/>
    </row>
    <row r="427" spans="11:30" ht="18" customHeight="1">
      <c r="K427" t="str">
        <f>IF(OR($I427="Čaká na integráciu",$J427="Integrácia"),"ÁNO","")</f>
        <v/>
      </c>
      <c r="L427" t="str">
        <f>IF(OR($I427="Čaká na biznis",$J427="Biznis",$J427="Švédsky biznis"),"ÁNO","")</f>
        <v/>
      </c>
      <c r="N427" s="2"/>
      <c r="O427" s="3"/>
      <c r="Q427"/>
      <c r="R427" s="3"/>
      <c r="S427" s="3"/>
      <c r="T427"/>
      <c r="U427"/>
      <c r="V427"/>
      <c r="W427"/>
      <c r="Z427"/>
      <c r="AA427"/>
      <c r="AD427"/>
    </row>
    <row r="428" spans="11:30" ht="18" customHeight="1">
      <c r="K428" t="str">
        <f>IF(OR($I428="Čaká na integráciu",$J428="Integrácia"),"ÁNO","")</f>
        <v/>
      </c>
      <c r="L428" t="str">
        <f>IF(OR($I428="Čaká na biznis",$J428="Biznis",$J428="Švédsky biznis"),"ÁNO","")</f>
        <v/>
      </c>
      <c r="N428" s="2"/>
      <c r="O428" s="3"/>
      <c r="Q428"/>
      <c r="R428" s="3"/>
      <c r="S428" s="3"/>
      <c r="T428"/>
      <c r="U428"/>
      <c r="V428"/>
      <c r="W428"/>
      <c r="Z428"/>
      <c r="AA428"/>
      <c r="AD428"/>
    </row>
    <row r="429" spans="11:30" ht="18" customHeight="1">
      <c r="K429" t="str">
        <f>IF(OR($I429="Čaká na integráciu",$J429="Integrácia"),"ÁNO","")</f>
        <v/>
      </c>
      <c r="L429" t="str">
        <f>IF(OR($I429="Čaká na biznis",$J429="Biznis",$J429="Švédsky biznis"),"ÁNO","")</f>
        <v/>
      </c>
      <c r="N429" s="2"/>
      <c r="O429" s="3"/>
      <c r="Q429"/>
      <c r="R429" s="3"/>
      <c r="S429" s="3"/>
      <c r="T429"/>
      <c r="U429"/>
      <c r="V429"/>
      <c r="W429"/>
      <c r="Z429"/>
      <c r="AA429"/>
      <c r="AD429"/>
    </row>
    <row r="430" spans="11:30" ht="18" customHeight="1">
      <c r="K430" t="str">
        <f>IF(OR($I430="Čaká na integráciu",$J430="Integrácia"),"ÁNO","")</f>
        <v/>
      </c>
      <c r="L430" t="str">
        <f>IF(OR($I430="Čaká na biznis",$J430="Biznis",$J430="Švédsky biznis"),"ÁNO","")</f>
        <v/>
      </c>
      <c r="N430" s="2"/>
      <c r="O430" s="3"/>
      <c r="Q430"/>
      <c r="R430" s="3"/>
      <c r="S430" s="3"/>
      <c r="T430"/>
      <c r="U430"/>
      <c r="V430"/>
      <c r="W430"/>
      <c r="Z430"/>
      <c r="AA430"/>
      <c r="AD430"/>
    </row>
    <row r="431" spans="11:30" ht="18" customHeight="1">
      <c r="K431" t="str">
        <f>IF(OR($I431="Čaká na integráciu",$J431="Integrácia"),"ÁNO","")</f>
        <v/>
      </c>
      <c r="L431" t="str">
        <f>IF(OR($I431="Čaká na biznis",$J431="Biznis",$J431="Švédsky biznis"),"ÁNO","")</f>
        <v/>
      </c>
      <c r="N431" s="2"/>
      <c r="O431" s="3"/>
      <c r="Q431"/>
      <c r="R431" s="3"/>
      <c r="S431" s="3"/>
      <c r="T431"/>
      <c r="U431"/>
      <c r="V431"/>
      <c r="W431"/>
      <c r="Z431"/>
      <c r="AA431"/>
      <c r="AD431"/>
    </row>
    <row r="432" spans="11:30" ht="18" customHeight="1">
      <c r="K432" t="str">
        <f>IF(OR($I432="Čaká na integráciu",$J432="Integrácia"),"ÁNO","")</f>
        <v/>
      </c>
      <c r="L432" t="str">
        <f>IF(OR($I432="Čaká na biznis",$J432="Biznis",$J432="Švédsky biznis"),"ÁNO","")</f>
        <v/>
      </c>
      <c r="N432" s="2"/>
      <c r="O432" s="3"/>
      <c r="Q432"/>
      <c r="R432" s="3"/>
      <c r="S432" s="3"/>
      <c r="T432"/>
      <c r="U432"/>
      <c r="V432"/>
      <c r="W432"/>
      <c r="Z432"/>
      <c r="AA432"/>
      <c r="AD432"/>
    </row>
    <row r="433" spans="11:30" ht="18" customHeight="1">
      <c r="K433" t="str">
        <f>IF(OR($I433="Čaká na integráciu",$J433="Integrácia"),"ÁNO","")</f>
        <v/>
      </c>
      <c r="L433" t="str">
        <f>IF(OR($I433="Čaká na biznis",$J433="Biznis",$J433="Švédsky biznis"),"ÁNO","")</f>
        <v/>
      </c>
      <c r="N433" s="2"/>
      <c r="O433" s="3"/>
      <c r="Q433"/>
      <c r="R433" s="3"/>
      <c r="S433" s="3"/>
      <c r="T433"/>
      <c r="U433"/>
      <c r="V433"/>
      <c r="W433"/>
      <c r="Z433"/>
      <c r="AA433"/>
      <c r="AD433"/>
    </row>
    <row r="434" spans="11:30" ht="18" customHeight="1">
      <c r="K434" t="str">
        <f>IF(OR($I434="Čaká na integráciu",$J434="Integrácia"),"ÁNO","")</f>
        <v/>
      </c>
      <c r="L434" t="str">
        <f>IF(OR($I434="Čaká na biznis",$J434="Biznis",$J434="Švédsky biznis"),"ÁNO","")</f>
        <v/>
      </c>
      <c r="N434" s="2"/>
      <c r="O434" s="3"/>
      <c r="Q434"/>
      <c r="R434" s="3"/>
      <c r="S434" s="3"/>
      <c r="T434"/>
      <c r="U434"/>
      <c r="V434"/>
      <c r="W434"/>
      <c r="Z434"/>
      <c r="AA434"/>
      <c r="AD434"/>
    </row>
    <row r="435" spans="11:30" ht="18" customHeight="1">
      <c r="K435" t="str">
        <f>IF(OR($I435="Čaká na integráciu",$J435="Integrácia"),"ÁNO","")</f>
        <v/>
      </c>
      <c r="L435" t="str">
        <f>IF(OR($I435="Čaká na biznis",$J435="Biznis",$J435="Švédsky biznis"),"ÁNO","")</f>
        <v/>
      </c>
      <c r="N435" s="2"/>
      <c r="O435" s="3"/>
      <c r="Q435"/>
      <c r="R435" s="3"/>
      <c r="S435" s="3"/>
      <c r="T435"/>
      <c r="U435"/>
      <c r="V435"/>
      <c r="W435"/>
      <c r="Z435"/>
      <c r="AA435"/>
      <c r="AD435"/>
    </row>
    <row r="436" spans="11:30" ht="18" customHeight="1">
      <c r="K436" t="str">
        <f>IF(OR($I436="Čaká na integráciu",$J436="Integrácia"),"ÁNO","")</f>
        <v/>
      </c>
      <c r="L436" t="str">
        <f>IF(OR($I436="Čaká na biznis",$J436="Biznis",$J436="Švédsky biznis"),"ÁNO","")</f>
        <v/>
      </c>
      <c r="N436" s="2"/>
      <c r="O436" s="3"/>
      <c r="Q436"/>
      <c r="R436" s="3"/>
      <c r="S436" s="3"/>
      <c r="T436"/>
      <c r="U436"/>
      <c r="V436"/>
      <c r="W436"/>
      <c r="Z436"/>
      <c r="AA436"/>
      <c r="AD436"/>
    </row>
    <row r="437" spans="11:30" ht="18" customHeight="1">
      <c r="K437" t="str">
        <f>IF(OR($I437="Čaká na integráciu",$J437="Integrácia"),"ÁNO","")</f>
        <v/>
      </c>
      <c r="L437" t="str">
        <f>IF(OR($I437="Čaká na biznis",$J437="Biznis",$J437="Švédsky biznis"),"ÁNO","")</f>
        <v/>
      </c>
      <c r="N437" s="2"/>
      <c r="O437" s="3"/>
      <c r="Q437"/>
      <c r="R437" s="3"/>
      <c r="S437" s="3"/>
      <c r="T437"/>
      <c r="U437"/>
      <c r="V437"/>
      <c r="W437"/>
      <c r="Z437"/>
      <c r="AA437"/>
      <c r="AD437"/>
    </row>
    <row r="438" spans="11:30" ht="18" customHeight="1">
      <c r="K438" t="str">
        <f>IF(OR($I438="Čaká na integráciu",$J438="Integrácia"),"ÁNO","")</f>
        <v/>
      </c>
      <c r="L438" t="str">
        <f>IF(OR($I438="Čaká na biznis",$J438="Biznis",$J438="Švédsky biznis"),"ÁNO","")</f>
        <v/>
      </c>
      <c r="N438" s="2"/>
      <c r="O438" s="3"/>
      <c r="Q438"/>
      <c r="R438" s="3"/>
      <c r="S438" s="3"/>
      <c r="T438"/>
      <c r="U438"/>
      <c r="V438"/>
      <c r="W438"/>
      <c r="Z438"/>
      <c r="AA438"/>
      <c r="AD438"/>
    </row>
    <row r="439" spans="11:30" ht="18" customHeight="1">
      <c r="K439" t="str">
        <f>IF(OR($I439="Čaká na integráciu",$J439="Integrácia"),"ÁNO","")</f>
        <v/>
      </c>
      <c r="L439" t="str">
        <f>IF(OR($I439="Čaká na biznis",$J439="Biznis",$J439="Švédsky biznis"),"ÁNO","")</f>
        <v/>
      </c>
      <c r="N439" s="2"/>
      <c r="O439" s="3"/>
      <c r="Q439"/>
      <c r="R439" s="3"/>
      <c r="S439" s="3"/>
      <c r="T439"/>
      <c r="U439"/>
      <c r="V439"/>
      <c r="W439"/>
      <c r="Z439"/>
      <c r="AA439"/>
      <c r="AD439"/>
    </row>
    <row r="440" spans="11:30" ht="18" customHeight="1">
      <c r="K440" t="str">
        <f>IF(OR($I440="Čaká na integráciu",$J440="Integrácia"),"ÁNO","")</f>
        <v/>
      </c>
      <c r="L440" t="str">
        <f>IF(OR($I440="Čaká na biznis",$J440="Biznis",$J440="Švédsky biznis"),"ÁNO","")</f>
        <v/>
      </c>
      <c r="N440" s="2"/>
      <c r="O440" s="3"/>
      <c r="Q440"/>
      <c r="R440" s="3"/>
      <c r="S440" s="3"/>
      <c r="T440"/>
      <c r="U440"/>
      <c r="V440"/>
      <c r="W440"/>
      <c r="Z440"/>
      <c r="AA440"/>
      <c r="AD440"/>
    </row>
    <row r="441" spans="11:30" ht="18" customHeight="1">
      <c r="K441" t="str">
        <f>IF(OR($I441="Čaká na integráciu",$J441="Integrácia"),"ÁNO","")</f>
        <v/>
      </c>
      <c r="L441" t="str">
        <f>IF(OR($I441="Čaká na biznis",$J441="Biznis",$J441="Švédsky biznis"),"ÁNO","")</f>
        <v/>
      </c>
      <c r="N441" s="2"/>
      <c r="O441" s="3"/>
      <c r="Q441"/>
      <c r="R441" s="3"/>
      <c r="S441" s="3"/>
      <c r="T441"/>
      <c r="U441"/>
      <c r="V441"/>
      <c r="W441"/>
      <c r="Z441"/>
      <c r="AA441"/>
      <c r="AD441"/>
    </row>
    <row r="442" spans="11:30" ht="18" customHeight="1">
      <c r="K442" t="str">
        <f>IF(OR($I442="Čaká na integráciu",$J442="Integrácia"),"ÁNO","")</f>
        <v/>
      </c>
      <c r="L442" t="str">
        <f>IF(OR($I442="Čaká na biznis",$J442="Biznis",$J442="Švédsky biznis"),"ÁNO","")</f>
        <v/>
      </c>
      <c r="N442" s="2"/>
      <c r="O442" s="3"/>
      <c r="Q442"/>
      <c r="R442" s="3"/>
      <c r="S442" s="3"/>
      <c r="T442"/>
      <c r="U442"/>
      <c r="V442"/>
      <c r="W442"/>
      <c r="Z442"/>
      <c r="AA442"/>
      <c r="AD442"/>
    </row>
    <row r="443" spans="11:30" ht="18" customHeight="1">
      <c r="K443" t="str">
        <f>IF(OR($I443="Čaká na integráciu",$J443="Integrácia"),"ÁNO","")</f>
        <v/>
      </c>
      <c r="L443" t="str">
        <f>IF(OR($I443="Čaká na biznis",$J443="Biznis",$J443="Švédsky biznis"),"ÁNO","")</f>
        <v/>
      </c>
      <c r="N443" s="2"/>
      <c r="O443" s="3"/>
      <c r="Q443"/>
      <c r="R443" s="3"/>
      <c r="S443" s="3"/>
      <c r="T443"/>
      <c r="U443"/>
      <c r="V443"/>
      <c r="W443"/>
      <c r="Z443"/>
      <c r="AA443"/>
      <c r="AD443"/>
    </row>
    <row r="444" spans="11:30" ht="18" customHeight="1">
      <c r="K444" t="str">
        <f>IF(OR($I444="Čaká na integráciu",$J444="Integrácia"),"ÁNO","")</f>
        <v/>
      </c>
      <c r="L444" t="str">
        <f>IF(OR($I444="Čaká na biznis",$J444="Biznis",$J444="Švédsky biznis"),"ÁNO","")</f>
        <v/>
      </c>
      <c r="N444" s="2"/>
      <c r="O444" s="3"/>
      <c r="Q444"/>
      <c r="R444" s="3"/>
      <c r="S444" s="3"/>
      <c r="T444"/>
      <c r="U444"/>
      <c r="V444"/>
      <c r="W444"/>
      <c r="Z444"/>
      <c r="AA444"/>
      <c r="AD444"/>
    </row>
    <row r="445" spans="11:30" ht="18" customHeight="1">
      <c r="K445" t="str">
        <f>IF(OR($I445="Čaká na integráciu",$J445="Integrácia"),"ÁNO","")</f>
        <v/>
      </c>
      <c r="L445" t="str">
        <f>IF(OR($I445="Čaká na biznis",$J445="Biznis",$J445="Švédsky biznis"),"ÁNO","")</f>
        <v/>
      </c>
      <c r="N445" s="2"/>
      <c r="O445" s="3"/>
      <c r="Q445"/>
      <c r="R445" s="3"/>
      <c r="S445" s="3"/>
      <c r="T445"/>
      <c r="U445"/>
      <c r="V445"/>
      <c r="W445"/>
      <c r="Z445"/>
      <c r="AA445"/>
      <c r="AD445"/>
    </row>
    <row r="446" spans="11:30" ht="18" customHeight="1">
      <c r="K446" t="str">
        <f>IF(OR($I446="Čaká na integráciu",$J446="Integrácia"),"ÁNO","")</f>
        <v/>
      </c>
      <c r="L446" t="str">
        <f>IF(OR($I446="Čaká na biznis",$J446="Biznis",$J446="Švédsky biznis"),"ÁNO","")</f>
        <v/>
      </c>
      <c r="N446" s="2"/>
      <c r="O446" s="3"/>
      <c r="Q446"/>
      <c r="R446" s="3"/>
      <c r="S446" s="3"/>
      <c r="T446"/>
      <c r="U446"/>
      <c r="V446"/>
      <c r="W446"/>
      <c r="Z446"/>
      <c r="AA446"/>
      <c r="AD446"/>
    </row>
    <row r="447" spans="11:30" ht="18" customHeight="1">
      <c r="K447" t="str">
        <f>IF(OR($I447="Čaká na integráciu",$J447="Integrácia"),"ÁNO","")</f>
        <v/>
      </c>
      <c r="L447" t="str">
        <f>IF(OR($I447="Čaká na biznis",$J447="Biznis",$J447="Švédsky biznis"),"ÁNO","")</f>
        <v/>
      </c>
      <c r="N447" s="2"/>
      <c r="O447" s="3"/>
      <c r="Q447"/>
      <c r="R447" s="3"/>
      <c r="S447" s="3"/>
      <c r="T447"/>
      <c r="U447"/>
      <c r="V447"/>
      <c r="W447"/>
      <c r="Z447"/>
      <c r="AA447"/>
      <c r="AD447"/>
    </row>
    <row r="448" spans="11:30" ht="18" customHeight="1">
      <c r="K448" t="str">
        <f>IF(OR($I448="Čaká na integráciu",$J448="Integrácia"),"ÁNO","")</f>
        <v/>
      </c>
      <c r="L448" t="str">
        <f>IF(OR($I448="Čaká na biznis",$J448="Biznis",$J448="Švédsky biznis"),"ÁNO","")</f>
        <v/>
      </c>
      <c r="N448" s="2"/>
      <c r="O448" s="3"/>
      <c r="Q448"/>
      <c r="R448" s="3"/>
      <c r="S448" s="3"/>
      <c r="T448"/>
      <c r="U448"/>
      <c r="V448"/>
      <c r="W448"/>
      <c r="Z448"/>
      <c r="AA448"/>
      <c r="AD448"/>
    </row>
    <row r="449" spans="11:30" ht="18" customHeight="1">
      <c r="K449" t="str">
        <f>IF(OR($I449="Čaká na integráciu",$J449="Integrácia"),"ÁNO","")</f>
        <v/>
      </c>
      <c r="L449" t="str">
        <f>IF(OR($I449="Čaká na biznis",$J449="Biznis",$J449="Švédsky biznis"),"ÁNO","")</f>
        <v/>
      </c>
      <c r="N449" s="2"/>
      <c r="O449" s="3"/>
      <c r="Q449"/>
      <c r="R449" s="3"/>
      <c r="S449" s="3"/>
      <c r="T449"/>
      <c r="U449"/>
      <c r="V449"/>
      <c r="W449"/>
      <c r="Z449"/>
      <c r="AA449"/>
      <c r="AD449"/>
    </row>
    <row r="450" spans="11:30" ht="18" customHeight="1">
      <c r="K450" t="str">
        <f>IF(OR($I450="Čaká na integráciu",$J450="Integrácia"),"ÁNO","")</f>
        <v/>
      </c>
      <c r="L450" t="str">
        <f>IF(OR($I450="Čaká na biznis",$J450="Biznis",$J450="Švédsky biznis"),"ÁNO","")</f>
        <v/>
      </c>
      <c r="N450" s="2"/>
      <c r="O450" s="3"/>
      <c r="Q450"/>
      <c r="R450" s="3"/>
      <c r="S450" s="3"/>
      <c r="T450"/>
      <c r="U450"/>
      <c r="V450"/>
      <c r="W450"/>
      <c r="Z450"/>
      <c r="AA450"/>
      <c r="AD450"/>
    </row>
    <row r="451" spans="11:30" ht="18" customHeight="1">
      <c r="K451" t="str">
        <f>IF(OR($I451="Čaká na integráciu",$J451="Integrácia"),"ÁNO","")</f>
        <v/>
      </c>
      <c r="L451" t="str">
        <f>IF(OR($I451="Čaká na biznis",$J451="Biznis",$J451="Švédsky biznis"),"ÁNO","")</f>
        <v/>
      </c>
      <c r="N451" s="2"/>
      <c r="O451" s="3"/>
      <c r="Q451"/>
      <c r="R451" s="3"/>
      <c r="S451" s="3"/>
      <c r="T451"/>
      <c r="U451"/>
      <c r="V451"/>
      <c r="W451"/>
      <c r="Z451"/>
      <c r="AA451"/>
      <c r="AD451"/>
    </row>
    <row r="452" spans="11:30" ht="18" customHeight="1">
      <c r="K452" t="str">
        <f>IF(OR($I452="Čaká na integráciu",$J452="Integrácia"),"ÁNO","")</f>
        <v/>
      </c>
      <c r="L452" t="str">
        <f>IF(OR($I452="Čaká na biznis",$J452="Biznis",$J452="Švédsky biznis"),"ÁNO","")</f>
        <v/>
      </c>
      <c r="N452" s="2"/>
      <c r="O452" s="3"/>
      <c r="Q452"/>
      <c r="R452" s="3"/>
      <c r="S452" s="3"/>
      <c r="T452"/>
      <c r="U452"/>
      <c r="V452"/>
      <c r="W452"/>
      <c r="Z452"/>
      <c r="AA452"/>
      <c r="AD452"/>
    </row>
    <row r="453" spans="11:30" ht="18" customHeight="1">
      <c r="K453" t="str">
        <f>IF(OR($I453="Čaká na integráciu",$J453="Integrácia"),"ÁNO","")</f>
        <v/>
      </c>
      <c r="L453" t="str">
        <f>IF(OR($I453="Čaká na biznis",$J453="Biznis",$J453="Švédsky biznis"),"ÁNO","")</f>
        <v/>
      </c>
      <c r="N453" s="2"/>
      <c r="O453" s="3"/>
      <c r="Q453"/>
      <c r="R453" s="3"/>
      <c r="S453" s="3"/>
      <c r="T453"/>
      <c r="U453"/>
      <c r="V453"/>
      <c r="W453"/>
      <c r="Z453"/>
      <c r="AA453"/>
      <c r="AD453"/>
    </row>
    <row r="454" spans="11:30" ht="18" customHeight="1">
      <c r="K454" t="str">
        <f>IF(OR($I454="Čaká na integráciu",$J454="Integrácia"),"ÁNO","")</f>
        <v/>
      </c>
      <c r="L454" t="str">
        <f>IF(OR($I454="Čaká na biznis",$J454="Biznis",$J454="Švédsky biznis"),"ÁNO","")</f>
        <v/>
      </c>
      <c r="N454" s="2"/>
      <c r="O454" s="3"/>
      <c r="Q454"/>
      <c r="R454" s="3"/>
      <c r="S454" s="3"/>
      <c r="T454"/>
      <c r="U454"/>
      <c r="V454"/>
      <c r="W454"/>
      <c r="Z454"/>
      <c r="AA454"/>
      <c r="AD454"/>
    </row>
    <row r="455" spans="11:30" ht="18" customHeight="1">
      <c r="K455" t="str">
        <f>IF(OR($I455="Čaká na integráciu",$J455="Integrácia"),"ÁNO","")</f>
        <v/>
      </c>
      <c r="L455" t="str">
        <f>IF(OR($I455="Čaká na biznis",$J455="Biznis",$J455="Švédsky biznis"),"ÁNO","")</f>
        <v/>
      </c>
      <c r="N455" s="2"/>
      <c r="O455" s="3"/>
      <c r="Q455"/>
      <c r="R455" s="3"/>
      <c r="S455" s="3"/>
      <c r="T455"/>
      <c r="U455"/>
      <c r="V455"/>
      <c r="W455"/>
      <c r="Z455"/>
      <c r="AA455"/>
      <c r="AD455"/>
    </row>
    <row r="456" spans="11:30" ht="18" customHeight="1">
      <c r="K456" t="str">
        <f>IF(OR($I456="Čaká na integráciu",$J456="Integrácia"),"ÁNO","")</f>
        <v/>
      </c>
      <c r="L456" t="str">
        <f>IF(OR($I456="Čaká na biznis",$J456="Biznis",$J456="Švédsky biznis"),"ÁNO","")</f>
        <v/>
      </c>
      <c r="N456" s="2"/>
      <c r="O456" s="3"/>
      <c r="Q456"/>
      <c r="R456" s="3"/>
      <c r="S456" s="3"/>
      <c r="T456"/>
      <c r="U456"/>
      <c r="V456"/>
      <c r="W456"/>
      <c r="Z456"/>
      <c r="AA456"/>
      <c r="AD456"/>
    </row>
    <row r="457" spans="11:30" ht="18" customHeight="1">
      <c r="K457" t="str">
        <f>IF(OR($I457="Čaká na integráciu",$J457="Integrácia"),"ÁNO","")</f>
        <v/>
      </c>
      <c r="L457" t="str">
        <f>IF(OR($I457="Čaká na biznis",$J457="Biznis",$J457="Švédsky biznis"),"ÁNO","")</f>
        <v/>
      </c>
      <c r="N457" s="2"/>
      <c r="O457" s="3"/>
      <c r="Q457"/>
      <c r="R457" s="3"/>
      <c r="S457" s="3"/>
      <c r="T457"/>
      <c r="U457"/>
      <c r="V457"/>
      <c r="W457"/>
      <c r="Z457"/>
      <c r="AA457"/>
      <c r="AD457"/>
    </row>
    <row r="458" spans="11:30" ht="18" customHeight="1">
      <c r="K458" t="str">
        <f>IF(OR($I458="Čaká na integráciu",$J458="Integrácia"),"ÁNO","")</f>
        <v/>
      </c>
      <c r="L458" t="str">
        <f>IF(OR($I458="Čaká na biznis",$J458="Biznis",$J458="Švédsky biznis"),"ÁNO","")</f>
        <v/>
      </c>
      <c r="N458" s="2"/>
      <c r="O458" s="3"/>
      <c r="Q458"/>
      <c r="R458" s="3"/>
      <c r="S458" s="3"/>
      <c r="T458"/>
      <c r="U458"/>
      <c r="V458"/>
      <c r="W458"/>
      <c r="Z458"/>
      <c r="AA458"/>
      <c r="AD458"/>
    </row>
    <row r="459" spans="11:30" ht="18" customHeight="1">
      <c r="K459" t="str">
        <f>IF(OR($I459="Čaká na integráciu",$J459="Integrácia"),"ÁNO","")</f>
        <v/>
      </c>
      <c r="L459" t="str">
        <f>IF(OR($I459="Čaká na biznis",$J459="Biznis",$J459="Švédsky biznis"),"ÁNO","")</f>
        <v/>
      </c>
      <c r="N459" s="2"/>
      <c r="O459" s="3"/>
      <c r="Q459"/>
      <c r="R459" s="3"/>
      <c r="S459" s="3"/>
      <c r="T459"/>
      <c r="U459"/>
      <c r="V459"/>
      <c r="W459"/>
      <c r="Z459"/>
      <c r="AA459"/>
      <c r="AD459"/>
    </row>
    <row r="460" spans="11:30" ht="18" customHeight="1">
      <c r="K460" t="str">
        <f>IF(OR($I460="Čaká na integráciu",$J460="Integrácia"),"ÁNO","")</f>
        <v/>
      </c>
      <c r="L460" t="str">
        <f>IF(OR($I460="Čaká na biznis",$J460="Biznis",$J460="Švédsky biznis"),"ÁNO","")</f>
        <v/>
      </c>
      <c r="N460" s="2"/>
      <c r="O460" s="3"/>
      <c r="Q460"/>
      <c r="R460" s="3"/>
      <c r="S460" s="3"/>
      <c r="T460"/>
      <c r="U460"/>
      <c r="V460"/>
      <c r="W460"/>
      <c r="Z460"/>
      <c r="AA460"/>
      <c r="AD460"/>
    </row>
    <row r="461" spans="11:30" ht="18" customHeight="1">
      <c r="K461" t="str">
        <f>IF(OR($I461="Čaká na integráciu",$J461="Integrácia"),"ÁNO","")</f>
        <v/>
      </c>
      <c r="L461" t="str">
        <f>IF(OR($I461="Čaká na biznis",$J461="Biznis",$J461="Švédsky biznis"),"ÁNO","")</f>
        <v/>
      </c>
      <c r="N461" s="2"/>
      <c r="O461" s="3"/>
      <c r="Q461"/>
      <c r="R461" s="3"/>
      <c r="S461" s="3"/>
      <c r="T461"/>
      <c r="U461"/>
      <c r="V461"/>
      <c r="W461"/>
      <c r="Z461"/>
      <c r="AA461"/>
      <c r="AD461"/>
    </row>
    <row r="462" spans="11:30" ht="18" customHeight="1">
      <c r="K462" t="str">
        <f>IF(OR($I462="Čaká na integráciu",$J462="Integrácia"),"ÁNO","")</f>
        <v/>
      </c>
      <c r="L462" t="str">
        <f>IF(OR($I462="Čaká na biznis",$J462="Biznis",$J462="Švédsky biznis"),"ÁNO","")</f>
        <v/>
      </c>
      <c r="N462" s="2"/>
      <c r="O462" s="3"/>
      <c r="Q462"/>
      <c r="R462" s="3"/>
      <c r="S462" s="3"/>
      <c r="T462"/>
      <c r="U462"/>
      <c r="V462"/>
      <c r="W462"/>
      <c r="Z462"/>
      <c r="AA462"/>
      <c r="AD462"/>
    </row>
    <row r="463" spans="11:30" ht="18" customHeight="1">
      <c r="K463" t="str">
        <f>IF(OR($I463="Čaká na integráciu",$J463="Integrácia"),"ÁNO","")</f>
        <v/>
      </c>
      <c r="L463" t="str">
        <f>IF(OR($I463="Čaká na biznis",$J463="Biznis",$J463="Švédsky biznis"),"ÁNO","")</f>
        <v/>
      </c>
      <c r="N463" s="2"/>
      <c r="O463" s="3"/>
      <c r="Q463"/>
      <c r="R463" s="3"/>
      <c r="S463" s="3"/>
      <c r="T463"/>
      <c r="U463"/>
      <c r="V463"/>
      <c r="W463"/>
      <c r="Z463"/>
      <c r="AA463"/>
      <c r="AD463"/>
    </row>
    <row r="464" spans="11:30" ht="18" customHeight="1">
      <c r="K464" t="str">
        <f>IF(OR($I464="Čaká na integráciu",$J464="Integrácia"),"ÁNO","")</f>
        <v/>
      </c>
      <c r="L464" t="str">
        <f>IF(OR($I464="Čaká na biznis",$J464="Biznis",$J464="Švédsky biznis"),"ÁNO","")</f>
        <v/>
      </c>
      <c r="N464" s="2"/>
      <c r="O464" s="3"/>
      <c r="Q464"/>
      <c r="R464" s="3"/>
      <c r="S464" s="3"/>
      <c r="T464"/>
      <c r="U464"/>
      <c r="V464"/>
      <c r="W464"/>
      <c r="Z464"/>
      <c r="AA464"/>
      <c r="AD464"/>
    </row>
    <row r="465" spans="11:30" ht="18" customHeight="1">
      <c r="K465" t="str">
        <f>IF(OR($I465="Čaká na integráciu",$J465="Integrácia"),"ÁNO","")</f>
        <v/>
      </c>
      <c r="L465" t="str">
        <f>IF(OR($I465="Čaká na biznis",$J465="Biznis",$J465="Švédsky biznis"),"ÁNO","")</f>
        <v/>
      </c>
      <c r="N465" s="2"/>
      <c r="O465" s="3"/>
      <c r="Q465"/>
      <c r="R465" s="3"/>
      <c r="S465" s="3"/>
      <c r="T465"/>
      <c r="U465"/>
      <c r="V465"/>
      <c r="W465"/>
      <c r="Z465"/>
      <c r="AA465"/>
      <c r="AD465"/>
    </row>
    <row r="466" spans="11:30" ht="18" customHeight="1">
      <c r="K466" t="str">
        <f>IF(OR($I466="Čaká na integráciu",$J466="Integrácia"),"ÁNO","")</f>
        <v/>
      </c>
      <c r="L466" t="str">
        <f>IF(OR($I466="Čaká na biznis",$J466="Biznis",$J466="Švédsky biznis"),"ÁNO","")</f>
        <v/>
      </c>
      <c r="N466" s="2"/>
      <c r="O466" s="3"/>
      <c r="Q466"/>
      <c r="R466" s="3"/>
      <c r="S466" s="3"/>
      <c r="T466"/>
      <c r="U466"/>
      <c r="V466"/>
      <c r="W466"/>
      <c r="Z466"/>
      <c r="AA466"/>
      <c r="AD466"/>
    </row>
    <row r="467" spans="11:30" ht="18" customHeight="1">
      <c r="K467" t="str">
        <f>IF(OR($I467="Čaká na integráciu",$J467="Integrácia"),"ÁNO","")</f>
        <v/>
      </c>
      <c r="L467" t="str">
        <f>IF(OR($I467="Čaká na biznis",$J467="Biznis",$J467="Švédsky biznis"),"ÁNO","")</f>
        <v/>
      </c>
      <c r="N467" s="2"/>
      <c r="O467" s="3"/>
      <c r="Q467"/>
      <c r="R467" s="3"/>
      <c r="S467" s="3"/>
      <c r="T467"/>
      <c r="U467"/>
      <c r="V467"/>
      <c r="W467"/>
      <c r="Z467"/>
      <c r="AA467"/>
      <c r="AD467"/>
    </row>
    <row r="468" spans="11:30" ht="18" customHeight="1">
      <c r="K468" t="str">
        <f>IF(OR($I468="Čaká na integráciu",$J468="Integrácia"),"ÁNO","")</f>
        <v/>
      </c>
      <c r="L468" t="str">
        <f>IF(OR($I468="Čaká na biznis",$J468="Biznis",$J468="Švédsky biznis"),"ÁNO","")</f>
        <v/>
      </c>
      <c r="N468" s="2"/>
      <c r="O468" s="3"/>
      <c r="Q468"/>
      <c r="R468" s="3"/>
      <c r="S468" s="3"/>
      <c r="T468"/>
      <c r="U468"/>
      <c r="V468"/>
      <c r="W468"/>
      <c r="Z468"/>
      <c r="AA468"/>
      <c r="AD468"/>
    </row>
    <row r="469" spans="11:30" ht="18" customHeight="1">
      <c r="K469" t="str">
        <f>IF(OR($I469="Čaká na integráciu",$J469="Integrácia"),"ÁNO","")</f>
        <v/>
      </c>
      <c r="L469" t="str">
        <f>IF(OR($I469="Čaká na biznis",$J469="Biznis",$J469="Švédsky biznis"),"ÁNO","")</f>
        <v/>
      </c>
      <c r="N469" s="2"/>
      <c r="O469" s="3"/>
      <c r="Q469"/>
      <c r="R469" s="3"/>
      <c r="S469" s="3"/>
      <c r="T469"/>
      <c r="U469"/>
      <c r="V469"/>
      <c r="W469"/>
      <c r="Z469"/>
      <c r="AA469"/>
      <c r="AD469"/>
    </row>
    <row r="470" spans="11:30" ht="18" customHeight="1">
      <c r="K470" t="str">
        <f>IF(OR($I470="Čaká na integráciu",$J470="Integrácia"),"ÁNO","")</f>
        <v/>
      </c>
      <c r="L470" t="str">
        <f>IF(OR($I470="Čaká na biznis",$J470="Biznis",$J470="Švédsky biznis"),"ÁNO","")</f>
        <v/>
      </c>
      <c r="N470" s="2"/>
      <c r="O470" s="3"/>
      <c r="Q470"/>
      <c r="R470" s="3"/>
      <c r="S470" s="3"/>
      <c r="T470"/>
      <c r="U470"/>
      <c r="V470"/>
      <c r="W470"/>
      <c r="Z470"/>
      <c r="AA470"/>
      <c r="AD470"/>
    </row>
    <row r="471" spans="11:30" ht="18" customHeight="1">
      <c r="K471" t="str">
        <f>IF(OR($I471="Čaká na integráciu",$J471="Integrácia"),"ÁNO","")</f>
        <v/>
      </c>
      <c r="L471" t="str">
        <f>IF(OR($I471="Čaká na biznis",$J471="Biznis",$J471="Švédsky biznis"),"ÁNO","")</f>
        <v/>
      </c>
      <c r="N471" s="2"/>
      <c r="O471" s="3"/>
      <c r="Q471"/>
      <c r="R471" s="3"/>
      <c r="S471" s="3"/>
      <c r="T471"/>
      <c r="U471"/>
      <c r="V471"/>
      <c r="W471"/>
      <c r="Z471"/>
      <c r="AA471"/>
      <c r="AD471"/>
    </row>
    <row r="472" spans="11:30" ht="18" customHeight="1">
      <c r="K472" t="str">
        <f>IF(OR($I472="Čaká na integráciu",$J472="Integrácia"),"ÁNO","")</f>
        <v/>
      </c>
      <c r="L472" t="str">
        <f>IF(OR($I472="Čaká na biznis",$J472="Biznis",$J472="Švédsky biznis"),"ÁNO","")</f>
        <v/>
      </c>
      <c r="N472" s="2"/>
      <c r="O472" s="3"/>
      <c r="Q472"/>
      <c r="R472" s="3"/>
      <c r="S472" s="3"/>
      <c r="T472"/>
      <c r="U472"/>
      <c r="V472"/>
      <c r="W472"/>
      <c r="Z472"/>
      <c r="AA472"/>
      <c r="AD472"/>
    </row>
    <row r="473" spans="11:30" ht="18" customHeight="1">
      <c r="K473" t="str">
        <f>IF(OR($I473="Čaká na integráciu",$J473="Integrácia"),"ÁNO","")</f>
        <v/>
      </c>
      <c r="L473" t="str">
        <f>IF(OR($I473="Čaká na biznis",$J473="Biznis",$J473="Švédsky biznis"),"ÁNO","")</f>
        <v/>
      </c>
      <c r="N473" s="2"/>
      <c r="O473" s="3"/>
      <c r="Q473"/>
      <c r="R473" s="3"/>
      <c r="S473" s="3"/>
      <c r="T473"/>
      <c r="U473"/>
      <c r="V473"/>
      <c r="W473"/>
      <c r="Z473"/>
      <c r="AA473"/>
      <c r="AD473"/>
    </row>
    <row r="474" spans="11:30" ht="18" customHeight="1">
      <c r="K474" t="str">
        <f>IF(OR($I474="Čaká na integráciu",$J474="Integrácia"),"ÁNO","")</f>
        <v/>
      </c>
      <c r="L474" t="str">
        <f>IF(OR($I474="Čaká na biznis",$J474="Biznis",$J474="Švédsky biznis"),"ÁNO","")</f>
        <v/>
      </c>
      <c r="N474" s="2"/>
      <c r="O474" s="3"/>
      <c r="Q474"/>
      <c r="R474" s="3"/>
      <c r="S474" s="3"/>
      <c r="T474"/>
      <c r="U474"/>
      <c r="V474"/>
      <c r="W474"/>
      <c r="Z474"/>
      <c r="AA474"/>
      <c r="AD474"/>
    </row>
    <row r="475" spans="11:30" ht="18" customHeight="1">
      <c r="K475" t="str">
        <f>IF(OR($I475="Čaká na integráciu",$J475="Integrácia"),"ÁNO","")</f>
        <v/>
      </c>
      <c r="L475" t="str">
        <f>IF(OR($I475="Čaká na biznis",$J475="Biznis",$J475="Švédsky biznis"),"ÁNO","")</f>
        <v/>
      </c>
      <c r="N475" s="2"/>
      <c r="O475" s="3"/>
      <c r="Q475"/>
      <c r="R475" s="3"/>
      <c r="S475" s="3"/>
      <c r="T475"/>
      <c r="U475"/>
      <c r="V475"/>
      <c r="W475"/>
      <c r="Z475"/>
      <c r="AA475"/>
      <c r="AD475"/>
    </row>
    <row r="476" spans="11:30" ht="18" customHeight="1">
      <c r="K476" t="str">
        <f>IF(OR($I476="Čaká na integráciu",$J476="Integrácia"),"ÁNO","")</f>
        <v/>
      </c>
      <c r="L476" t="str">
        <f>IF(OR($I476="Čaká na biznis",$J476="Biznis",$J476="Švédsky biznis"),"ÁNO","")</f>
        <v/>
      </c>
      <c r="N476" s="2"/>
      <c r="O476" s="3"/>
      <c r="Q476"/>
      <c r="R476" s="3"/>
      <c r="S476" s="3"/>
      <c r="T476"/>
      <c r="U476"/>
      <c r="V476"/>
      <c r="W476"/>
      <c r="Z476"/>
      <c r="AA476"/>
      <c r="AD476"/>
    </row>
    <row r="477" spans="11:30" ht="18" customHeight="1">
      <c r="K477" t="str">
        <f>IF(OR($I477="Čaká na integráciu",$J477="Integrácia"),"ÁNO","")</f>
        <v/>
      </c>
      <c r="L477" t="str">
        <f>IF(OR($I477="Čaká na biznis",$J477="Biznis",$J477="Švédsky biznis"),"ÁNO","")</f>
        <v/>
      </c>
      <c r="N477" s="2"/>
      <c r="O477" s="3"/>
      <c r="Q477"/>
      <c r="R477" s="3"/>
      <c r="S477" s="3"/>
      <c r="T477"/>
      <c r="U477"/>
      <c r="V477"/>
      <c r="W477"/>
      <c r="Z477"/>
      <c r="AA477"/>
      <c r="AD477"/>
    </row>
    <row r="478" spans="11:30" ht="18" customHeight="1">
      <c r="K478" t="str">
        <f>IF(OR($I478="Čaká na integráciu",$J478="Integrácia"),"ÁNO","")</f>
        <v/>
      </c>
      <c r="L478" t="str">
        <f>IF(OR($I478="Čaká na biznis",$J478="Biznis",$J478="Švédsky biznis"),"ÁNO","")</f>
        <v/>
      </c>
      <c r="N478" s="2"/>
      <c r="O478" s="3"/>
      <c r="Q478"/>
      <c r="R478" s="3"/>
      <c r="S478" s="3"/>
      <c r="T478"/>
      <c r="U478"/>
      <c r="V478"/>
      <c r="W478"/>
      <c r="Z478"/>
      <c r="AA478"/>
      <c r="AD478"/>
    </row>
    <row r="479" spans="11:30" ht="18" customHeight="1">
      <c r="K479" t="str">
        <f>IF(OR($I479="Čaká na integráciu",$J479="Integrácia"),"ÁNO","")</f>
        <v/>
      </c>
      <c r="L479" t="str">
        <f>IF(OR($I479="Čaká na biznis",$J479="Biznis",$J479="Švédsky biznis"),"ÁNO","")</f>
        <v/>
      </c>
      <c r="N479" s="2"/>
      <c r="O479" s="3"/>
      <c r="Q479"/>
      <c r="R479" s="3"/>
      <c r="S479" s="3"/>
      <c r="T479"/>
      <c r="U479"/>
      <c r="V479"/>
      <c r="W479"/>
      <c r="Z479"/>
      <c r="AA479"/>
      <c r="AD479"/>
    </row>
    <row r="480" spans="11:30" ht="18" customHeight="1">
      <c r="K480" t="str">
        <f>IF(OR($I480="Čaká na integráciu",$J480="Integrácia"),"ÁNO","")</f>
        <v/>
      </c>
      <c r="L480" t="str">
        <f>IF(OR($I480="Čaká na biznis",$J480="Biznis",$J480="Švédsky biznis"),"ÁNO","")</f>
        <v/>
      </c>
      <c r="N480" s="2"/>
      <c r="O480" s="3"/>
      <c r="Q480"/>
      <c r="R480" s="3"/>
      <c r="S480" s="3"/>
      <c r="T480"/>
      <c r="U480"/>
      <c r="V480"/>
      <c r="W480"/>
      <c r="Z480"/>
      <c r="AA480"/>
      <c r="AD480"/>
    </row>
    <row r="481" spans="11:30" ht="18" customHeight="1">
      <c r="K481" t="str">
        <f>IF(OR($I481="Čaká na integráciu",$J481="Integrácia"),"ÁNO","")</f>
        <v/>
      </c>
      <c r="L481" t="str">
        <f>IF(OR($I481="Čaká na biznis",$J481="Biznis",$J481="Švédsky biznis"),"ÁNO","")</f>
        <v/>
      </c>
      <c r="N481" s="2"/>
      <c r="O481" s="3"/>
      <c r="Q481"/>
      <c r="R481" s="3"/>
      <c r="S481" s="3"/>
      <c r="T481"/>
      <c r="U481"/>
      <c r="V481"/>
      <c r="W481"/>
      <c r="Z481"/>
      <c r="AA481"/>
      <c r="AD481"/>
    </row>
    <row r="482" spans="11:30" ht="18" customHeight="1">
      <c r="K482" t="str">
        <f>IF(OR($I482="Čaká na integráciu",$J482="Integrácia"),"ÁNO","")</f>
        <v/>
      </c>
      <c r="L482" t="str">
        <f>IF(OR($I482="Čaká na biznis",$J482="Biznis",$J482="Švédsky biznis"),"ÁNO","")</f>
        <v/>
      </c>
      <c r="N482" s="2"/>
      <c r="O482" s="3"/>
      <c r="Q482"/>
      <c r="R482" s="3"/>
      <c r="S482" s="3"/>
      <c r="T482"/>
      <c r="U482"/>
      <c r="V482"/>
      <c r="W482"/>
      <c r="Z482"/>
      <c r="AA482"/>
      <c r="AD482"/>
    </row>
    <row r="483" spans="11:30" ht="18" customHeight="1">
      <c r="K483" t="str">
        <f>IF(OR($I483="Čaká na integráciu",$J483="Integrácia"),"ÁNO","")</f>
        <v/>
      </c>
      <c r="L483" t="str">
        <f>IF(OR($I483="Čaká na biznis",$J483="Biznis",$J483="Švédsky biznis"),"ÁNO","")</f>
        <v/>
      </c>
      <c r="N483" s="2"/>
      <c r="O483" s="3"/>
      <c r="Q483"/>
      <c r="R483" s="3"/>
      <c r="S483" s="3"/>
      <c r="T483"/>
      <c r="U483"/>
      <c r="V483"/>
      <c r="W483"/>
      <c r="Z483"/>
      <c r="AA483"/>
      <c r="AD483"/>
    </row>
    <row r="484" spans="11:30" ht="18" customHeight="1">
      <c r="K484" t="str">
        <f>IF(OR($I484="Čaká na integráciu",$J484="Integrácia"),"ÁNO","")</f>
        <v/>
      </c>
      <c r="L484" t="str">
        <f>IF(OR($I484="Čaká na biznis",$J484="Biznis",$J484="Švédsky biznis"),"ÁNO","")</f>
        <v/>
      </c>
      <c r="N484" s="2"/>
      <c r="O484" s="3"/>
      <c r="Q484"/>
      <c r="R484" s="3"/>
      <c r="S484" s="3"/>
      <c r="T484"/>
      <c r="U484"/>
      <c r="V484"/>
      <c r="W484"/>
      <c r="Z484"/>
      <c r="AA484"/>
      <c r="AD484"/>
    </row>
    <row r="485" spans="11:30" ht="18" customHeight="1">
      <c r="K485" t="str">
        <f>IF(OR($I485="Čaká na integráciu",$J485="Integrácia"),"ÁNO","")</f>
        <v/>
      </c>
      <c r="L485" t="str">
        <f>IF(OR($I485="Čaká na biznis",$J485="Biznis",$J485="Švédsky biznis"),"ÁNO","")</f>
        <v/>
      </c>
      <c r="N485" s="2"/>
      <c r="O485" s="3"/>
      <c r="Q485"/>
      <c r="R485" s="3"/>
      <c r="S485" s="3"/>
      <c r="T485"/>
      <c r="U485"/>
      <c r="V485"/>
      <c r="W485"/>
      <c r="Z485"/>
      <c r="AA485"/>
      <c r="AD485"/>
    </row>
    <row r="486" spans="11:30" ht="18" customHeight="1">
      <c r="K486" t="str">
        <f>IF(OR($I486="Čaká na integráciu",$J486="Integrácia"),"ÁNO","")</f>
        <v/>
      </c>
      <c r="L486" t="str">
        <f>IF(OR($I486="Čaká na biznis",$J486="Biznis",$J486="Švédsky biznis"),"ÁNO","")</f>
        <v/>
      </c>
      <c r="N486" s="2"/>
      <c r="O486" s="3"/>
      <c r="Q486"/>
      <c r="R486" s="3"/>
      <c r="S486" s="3"/>
      <c r="T486"/>
      <c r="U486"/>
      <c r="V486"/>
      <c r="W486"/>
      <c r="Z486"/>
      <c r="AA486"/>
      <c r="AD486"/>
    </row>
    <row r="487" spans="11:30" ht="18" customHeight="1">
      <c r="K487" t="str">
        <f>IF(OR($I487="Čaká na integráciu",$J487="Integrácia"),"ÁNO","")</f>
        <v/>
      </c>
      <c r="L487" t="str">
        <f>IF(OR($I487="Čaká na biznis",$J487="Biznis",$J487="Švédsky biznis"),"ÁNO","")</f>
        <v/>
      </c>
      <c r="N487" s="2"/>
      <c r="O487" s="3"/>
      <c r="Q487"/>
      <c r="R487" s="3"/>
      <c r="S487" s="3"/>
      <c r="T487"/>
      <c r="U487"/>
      <c r="V487"/>
      <c r="W487"/>
      <c r="Z487"/>
      <c r="AA487"/>
      <c r="AD487"/>
    </row>
    <row r="488" spans="11:30" ht="18" customHeight="1">
      <c r="K488" t="str">
        <f>IF(OR($I488="Čaká na integráciu",$J488="Integrácia"),"ÁNO","")</f>
        <v/>
      </c>
      <c r="L488" t="str">
        <f>IF(OR($I488="Čaká na biznis",$J488="Biznis",$J488="Švédsky biznis"),"ÁNO","")</f>
        <v/>
      </c>
      <c r="N488" s="2"/>
      <c r="O488" s="3"/>
      <c r="Q488"/>
      <c r="R488" s="3"/>
      <c r="S488" s="3"/>
      <c r="T488"/>
      <c r="U488"/>
      <c r="V488"/>
      <c r="W488"/>
      <c r="Z488"/>
      <c r="AA488"/>
      <c r="AD488"/>
    </row>
    <row r="489" spans="11:30" ht="18" customHeight="1">
      <c r="K489" t="str">
        <f>IF(OR($I489="Čaká na integráciu",$J489="Integrácia"),"ÁNO","")</f>
        <v/>
      </c>
      <c r="L489" t="str">
        <f>IF(OR($I489="Čaká na biznis",$J489="Biznis",$J489="Švédsky biznis"),"ÁNO","")</f>
        <v/>
      </c>
      <c r="N489" s="2"/>
      <c r="O489" s="3"/>
      <c r="Q489"/>
      <c r="R489" s="3"/>
      <c r="S489" s="3"/>
      <c r="T489"/>
      <c r="U489"/>
      <c r="V489"/>
      <c r="W489"/>
      <c r="Z489"/>
      <c r="AA489"/>
      <c r="AD489"/>
    </row>
    <row r="490" spans="11:30" ht="18" customHeight="1">
      <c r="K490" t="str">
        <f>IF(OR($I490="Čaká na integráciu",$J490="Integrácia"),"ÁNO","")</f>
        <v/>
      </c>
      <c r="L490" t="str">
        <f>IF(OR($I490="Čaká na biznis",$J490="Biznis",$J490="Švédsky biznis"),"ÁNO","")</f>
        <v/>
      </c>
      <c r="N490" s="2"/>
      <c r="O490" s="3"/>
      <c r="Q490"/>
      <c r="R490" s="3"/>
      <c r="S490" s="3"/>
      <c r="T490"/>
      <c r="U490"/>
      <c r="V490"/>
      <c r="W490"/>
      <c r="Z490"/>
      <c r="AA490"/>
      <c r="AD490"/>
    </row>
    <row r="491" spans="11:30" ht="18" customHeight="1">
      <c r="K491" t="str">
        <f>IF(OR($I491="Čaká na integráciu",$J491="Integrácia"),"ÁNO","")</f>
        <v/>
      </c>
      <c r="L491" t="str">
        <f>IF(OR($I491="Čaká na biznis",$J491="Biznis",$J491="Švédsky biznis"),"ÁNO","")</f>
        <v/>
      </c>
      <c r="N491" s="2"/>
      <c r="O491" s="3"/>
      <c r="Q491"/>
      <c r="R491" s="3"/>
      <c r="S491" s="3"/>
      <c r="T491"/>
      <c r="U491"/>
      <c r="V491"/>
      <c r="W491"/>
      <c r="Z491"/>
      <c r="AA491"/>
      <c r="AD491"/>
    </row>
    <row r="492" spans="11:30" ht="18" customHeight="1">
      <c r="K492" t="str">
        <f>IF(OR($I492="Čaká na integráciu",$J492="Integrácia"),"ÁNO","")</f>
        <v/>
      </c>
      <c r="L492" t="str">
        <f>IF(OR($I492="Čaká na biznis",$J492="Biznis",$J492="Švédsky biznis"),"ÁNO","")</f>
        <v/>
      </c>
      <c r="N492" s="2"/>
      <c r="O492" s="3"/>
      <c r="Q492"/>
      <c r="R492" s="3"/>
      <c r="S492" s="3"/>
      <c r="T492"/>
      <c r="U492"/>
      <c r="V492"/>
      <c r="W492"/>
      <c r="Z492"/>
      <c r="AA492"/>
      <c r="AD492"/>
    </row>
    <row r="493" spans="11:30" ht="18" customHeight="1">
      <c r="K493" t="str">
        <f>IF(OR($I493="Čaká na integráciu",$J493="Integrácia"),"ÁNO","")</f>
        <v/>
      </c>
      <c r="L493" t="str">
        <f>IF(OR($I493="Čaká na biznis",$J493="Biznis",$J493="Švédsky biznis"),"ÁNO","")</f>
        <v/>
      </c>
      <c r="N493" s="2"/>
      <c r="O493" s="3"/>
      <c r="Q493"/>
      <c r="R493" s="3"/>
      <c r="S493" s="3"/>
      <c r="T493"/>
      <c r="U493"/>
      <c r="V493"/>
      <c r="W493"/>
      <c r="Z493"/>
      <c r="AA493"/>
      <c r="AD493"/>
    </row>
    <row r="494" spans="11:30" ht="18" customHeight="1">
      <c r="K494" t="str">
        <f>IF(OR($I494="Čaká na integráciu",$J494="Integrácia"),"ÁNO","")</f>
        <v/>
      </c>
      <c r="L494" t="str">
        <f>IF(OR($I494="Čaká na biznis",$J494="Biznis",$J494="Švédsky biznis"),"ÁNO","")</f>
        <v/>
      </c>
      <c r="N494" s="2"/>
      <c r="O494" s="3"/>
      <c r="Q494"/>
      <c r="R494" s="3"/>
      <c r="S494" s="3"/>
      <c r="T494"/>
      <c r="U494"/>
      <c r="V494"/>
      <c r="W494"/>
      <c r="Z494"/>
      <c r="AA494"/>
      <c r="AD494"/>
    </row>
    <row r="495" spans="11:30" ht="18" customHeight="1">
      <c r="K495" t="str">
        <f>IF(OR($I495="Čaká na integráciu",$J495="Integrácia"),"ÁNO","")</f>
        <v/>
      </c>
      <c r="L495" t="str">
        <f>IF(OR($I495="Čaká na biznis",$J495="Biznis",$J495="Švédsky biznis"),"ÁNO","")</f>
        <v/>
      </c>
      <c r="N495" s="2"/>
      <c r="O495" s="3"/>
      <c r="Q495"/>
      <c r="R495" s="3"/>
      <c r="S495" s="3"/>
      <c r="T495"/>
      <c r="U495"/>
      <c r="V495"/>
      <c r="W495"/>
      <c r="Z495"/>
      <c r="AA495"/>
      <c r="AD495"/>
    </row>
    <row r="496" spans="11:30" ht="18" customHeight="1">
      <c r="K496" t="str">
        <f>IF(OR($I496="Čaká na integráciu",$J496="Integrácia"),"ÁNO","")</f>
        <v/>
      </c>
      <c r="L496" t="str">
        <f>IF(OR($I496="Čaká na biznis",$J496="Biznis",$J496="Švédsky biznis"),"ÁNO","")</f>
        <v/>
      </c>
      <c r="N496" s="2"/>
      <c r="O496" s="3"/>
      <c r="Q496"/>
      <c r="R496" s="3"/>
      <c r="S496" s="3"/>
      <c r="T496"/>
      <c r="U496"/>
      <c r="V496"/>
      <c r="W496"/>
      <c r="Z496"/>
      <c r="AA496"/>
      <c r="AD496"/>
    </row>
    <row r="497" spans="11:30" ht="18" customHeight="1">
      <c r="K497" t="str">
        <f>IF(OR($I497="Čaká na integráciu",$J497="Integrácia"),"ÁNO","")</f>
        <v/>
      </c>
      <c r="L497" t="str">
        <f>IF(OR($I497="Čaká na biznis",$J497="Biznis",$J497="Švédsky biznis"),"ÁNO","")</f>
        <v/>
      </c>
      <c r="N497" s="2"/>
      <c r="O497" s="3"/>
      <c r="Q497"/>
      <c r="R497" s="3"/>
      <c r="S497" s="3"/>
      <c r="T497"/>
      <c r="U497"/>
      <c r="V497"/>
      <c r="W497"/>
      <c r="Z497"/>
      <c r="AA497"/>
      <c r="AD497"/>
    </row>
    <row r="498" spans="11:30" ht="18" customHeight="1">
      <c r="K498" t="str">
        <f>IF(OR($I498="Čaká na integráciu",$J498="Integrácia"),"ÁNO","")</f>
        <v/>
      </c>
      <c r="L498" t="str">
        <f>IF(OR($I498="Čaká na biznis",$J498="Biznis",$J498="Švédsky biznis"),"ÁNO","")</f>
        <v/>
      </c>
      <c r="N498" s="2"/>
      <c r="O498" s="3"/>
      <c r="Q498"/>
      <c r="R498" s="3"/>
      <c r="S498" s="3"/>
      <c r="T498"/>
      <c r="U498"/>
      <c r="V498"/>
      <c r="W498"/>
      <c r="Z498"/>
      <c r="AA498"/>
      <c r="AD498"/>
    </row>
    <row r="499" spans="11:30" ht="18" customHeight="1">
      <c r="K499" t="str">
        <f>IF(OR($I499="Čaká na integráciu",$J499="Integrácia"),"ÁNO","")</f>
        <v/>
      </c>
      <c r="L499" t="str">
        <f>IF(OR($I499="Čaká na biznis",$J499="Biznis",$J499="Švédsky biznis"),"ÁNO","")</f>
        <v/>
      </c>
      <c r="N499" s="2"/>
      <c r="O499" s="3"/>
      <c r="Q499"/>
      <c r="R499" s="3"/>
      <c r="S499" s="3"/>
      <c r="T499"/>
      <c r="U499"/>
      <c r="V499"/>
      <c r="W499"/>
      <c r="Z499"/>
      <c r="AA499"/>
      <c r="AD499"/>
    </row>
    <row r="500" spans="11:30" ht="18" customHeight="1">
      <c r="K500" t="str">
        <f>IF(OR($I500="Čaká na integráciu",$J500="Integrácia"),"ÁNO","")</f>
        <v/>
      </c>
      <c r="L500" t="str">
        <f>IF(OR($I500="Čaká na biznis",$J500="Biznis",$J500="Švédsky biznis"),"ÁNO","")</f>
        <v/>
      </c>
      <c r="N500" s="2"/>
      <c r="O500" s="3"/>
      <c r="Q500"/>
      <c r="R500" s="3"/>
      <c r="S500" s="3"/>
      <c r="T500"/>
      <c r="U500"/>
      <c r="V500"/>
      <c r="W500"/>
      <c r="Z500"/>
      <c r="AA500"/>
      <c r="AD500"/>
    </row>
    <row r="501" spans="11:30" ht="18" customHeight="1">
      <c r="K501" t="str">
        <f>IF(OR($I501="Čaká na integráciu",$J501="Integrácia"),"ÁNO","")</f>
        <v/>
      </c>
      <c r="L501" t="str">
        <f>IF(OR($I501="Čaká na biznis",$J501="Biznis",$J501="Švédsky biznis"),"ÁNO","")</f>
        <v/>
      </c>
      <c r="N501" s="2"/>
      <c r="O501" s="3"/>
      <c r="Q501"/>
      <c r="R501" s="3"/>
      <c r="S501" s="3"/>
      <c r="T501"/>
      <c r="U501"/>
      <c r="V501"/>
      <c r="W501"/>
      <c r="Z501"/>
      <c r="AA501"/>
      <c r="AD501"/>
    </row>
    <row r="502" spans="11:30" ht="18" customHeight="1">
      <c r="K502" t="str">
        <f>IF(OR($I502="Čaká na integráciu",$J502="Integrácia"),"ÁNO","")</f>
        <v/>
      </c>
      <c r="L502" t="str">
        <f>IF(OR($I502="Čaká na biznis",$J502="Biznis",$J502="Švédsky biznis"),"ÁNO","")</f>
        <v/>
      </c>
      <c r="N502" s="2"/>
      <c r="O502" s="3"/>
      <c r="Q502"/>
      <c r="R502" s="3"/>
      <c r="S502" s="3"/>
      <c r="T502"/>
      <c r="U502"/>
      <c r="V502"/>
      <c r="W502"/>
      <c r="Z502"/>
      <c r="AA502"/>
      <c r="AD502"/>
    </row>
    <row r="503" spans="11:30" ht="18" customHeight="1">
      <c r="K503" t="str">
        <f>IF(OR($I503="Čaká na integráciu",$J503="Integrácia"),"ÁNO","")</f>
        <v/>
      </c>
      <c r="L503" t="str">
        <f>IF(OR($I503="Čaká na biznis",$J503="Biznis",$J503="Švédsky biznis"),"ÁNO","")</f>
        <v/>
      </c>
      <c r="N503" s="2"/>
      <c r="O503" s="3"/>
      <c r="Q503"/>
      <c r="R503" s="3"/>
      <c r="S503" s="3"/>
      <c r="T503"/>
      <c r="U503"/>
      <c r="V503"/>
      <c r="W503"/>
      <c r="Z503"/>
      <c r="AA503"/>
      <c r="AD503"/>
    </row>
    <row r="504" spans="11:30" ht="18" customHeight="1">
      <c r="K504" t="str">
        <f>IF(OR($I504="Čaká na integráciu",$J504="Integrácia"),"ÁNO","")</f>
        <v/>
      </c>
      <c r="L504" t="str">
        <f>IF(OR($I504="Čaká na biznis",$J504="Biznis",$J504="Švédsky biznis"),"ÁNO","")</f>
        <v/>
      </c>
      <c r="N504" s="2"/>
      <c r="O504" s="3"/>
      <c r="Q504"/>
      <c r="R504" s="3"/>
      <c r="S504" s="3"/>
      <c r="T504"/>
      <c r="U504"/>
      <c r="V504"/>
      <c r="W504"/>
      <c r="Z504"/>
      <c r="AA504"/>
      <c r="AD504"/>
    </row>
    <row r="505" spans="11:30" ht="18" customHeight="1">
      <c r="K505" t="str">
        <f>IF(OR($I505="Čaká na integráciu",$J505="Integrácia"),"ÁNO","")</f>
        <v/>
      </c>
      <c r="L505" t="str">
        <f>IF(OR($I505="Čaká na biznis",$J505="Biznis",$J505="Švédsky biznis"),"ÁNO","")</f>
        <v/>
      </c>
      <c r="N505" s="2"/>
      <c r="O505" s="3"/>
      <c r="Q505"/>
      <c r="R505" s="3"/>
      <c r="S505" s="3"/>
      <c r="T505"/>
      <c r="U505"/>
      <c r="V505"/>
      <c r="W505"/>
      <c r="Z505"/>
      <c r="AA505"/>
      <c r="AD505"/>
    </row>
    <row r="506" spans="11:30" ht="18" customHeight="1">
      <c r="K506" t="str">
        <f>IF(OR($I506="Čaká na integráciu",$J506="Integrácia"),"ÁNO","")</f>
        <v/>
      </c>
      <c r="L506" t="str">
        <f>IF(OR($I506="Čaká na biznis",$J506="Biznis",$J506="Švédsky biznis"),"ÁNO","")</f>
        <v/>
      </c>
      <c r="N506" s="2"/>
      <c r="O506" s="3"/>
      <c r="Q506"/>
      <c r="R506" s="3"/>
      <c r="S506" s="3"/>
      <c r="T506"/>
      <c r="U506"/>
      <c r="V506"/>
      <c r="W506"/>
      <c r="Z506"/>
      <c r="AA506"/>
      <c r="AD506"/>
    </row>
    <row r="507" spans="11:30" ht="18" customHeight="1">
      <c r="K507" t="str">
        <f>IF(OR($I507="Čaká na integráciu",$J507="Integrácia"),"ÁNO","")</f>
        <v/>
      </c>
      <c r="L507" t="str">
        <f>IF(OR($I507="Čaká na biznis",$J507="Biznis",$J507="Švédsky biznis"),"ÁNO","")</f>
        <v/>
      </c>
      <c r="N507" s="2"/>
      <c r="O507" s="3"/>
      <c r="Q507"/>
      <c r="R507" s="3"/>
      <c r="S507" s="3"/>
      <c r="T507"/>
      <c r="U507"/>
      <c r="V507"/>
      <c r="W507"/>
      <c r="Z507"/>
      <c r="AA507"/>
      <c r="AD507"/>
    </row>
    <row r="508" spans="11:30" ht="18" customHeight="1">
      <c r="K508" t="str">
        <f>IF(OR($I508="Čaká na integráciu",$J508="Integrácia"),"ÁNO","")</f>
        <v/>
      </c>
      <c r="L508" t="str">
        <f>IF(OR($I508="Čaká na biznis",$J508="Biznis",$J508="Švédsky biznis"),"ÁNO","")</f>
        <v/>
      </c>
      <c r="N508" s="2"/>
      <c r="O508" s="3"/>
      <c r="Q508"/>
      <c r="R508" s="3"/>
      <c r="S508" s="3"/>
      <c r="T508"/>
      <c r="U508"/>
      <c r="V508"/>
      <c r="W508"/>
      <c r="Z508"/>
      <c r="AA508"/>
      <c r="AD508"/>
    </row>
    <row r="509" spans="11:30" ht="18" customHeight="1">
      <c r="K509" t="str">
        <f>IF(OR($I509="Čaká na integráciu",$J509="Integrácia"),"ÁNO","")</f>
        <v/>
      </c>
      <c r="L509" t="str">
        <f>IF(OR($I509="Čaká na biznis",$J509="Biznis",$J509="Švédsky biznis"),"ÁNO","")</f>
        <v/>
      </c>
      <c r="N509" s="2"/>
      <c r="O509" s="3"/>
      <c r="Q509"/>
      <c r="R509" s="3"/>
      <c r="S509" s="3"/>
      <c r="T509"/>
      <c r="U509"/>
      <c r="V509"/>
      <c r="W509"/>
      <c r="Z509"/>
      <c r="AA509"/>
      <c r="AD509"/>
    </row>
    <row r="510" spans="11:30" ht="18" customHeight="1">
      <c r="K510" t="str">
        <f>IF(OR($I510="Čaká na integráciu",$J510="Integrácia"),"ÁNO","")</f>
        <v/>
      </c>
      <c r="L510" t="str">
        <f>IF(OR($I510="Čaká na biznis",$J510="Biznis",$J510="Švédsky biznis"),"ÁNO","")</f>
        <v/>
      </c>
      <c r="N510" s="2"/>
      <c r="O510" s="3"/>
      <c r="Q510"/>
      <c r="R510" s="3"/>
      <c r="S510" s="3"/>
      <c r="T510"/>
      <c r="U510"/>
      <c r="V510"/>
      <c r="W510"/>
      <c r="Z510"/>
      <c r="AA510"/>
      <c r="AD510"/>
    </row>
    <row r="511" spans="11:30" ht="18" customHeight="1">
      <c r="K511" t="str">
        <f>IF(OR($I511="Čaká na integráciu",$J511="Integrácia"),"ÁNO","")</f>
        <v/>
      </c>
      <c r="L511" t="str">
        <f>IF(OR($I511="Čaká na biznis",$J511="Biznis",$J511="Švédsky biznis"),"ÁNO","")</f>
        <v/>
      </c>
      <c r="N511" s="2"/>
      <c r="O511" s="3"/>
      <c r="Q511"/>
      <c r="R511" s="3"/>
      <c r="S511" s="3"/>
      <c r="T511"/>
      <c r="U511"/>
      <c r="V511"/>
      <c r="W511"/>
      <c r="Z511"/>
      <c r="AA511"/>
      <c r="AD511"/>
    </row>
    <row r="512" spans="11:30" ht="18" customHeight="1">
      <c r="K512" t="str">
        <f>IF(OR($I512="Čaká na integráciu",$J512="Integrácia"),"ÁNO","")</f>
        <v/>
      </c>
      <c r="L512" t="str">
        <f>IF(OR($I512="Čaká na biznis",$J512="Biznis",$J512="Švédsky biznis"),"ÁNO","")</f>
        <v/>
      </c>
      <c r="N512" s="2"/>
      <c r="O512" s="3"/>
      <c r="Q512"/>
      <c r="R512" s="3"/>
      <c r="S512" s="3"/>
      <c r="T512"/>
      <c r="U512"/>
      <c r="V512"/>
      <c r="W512"/>
      <c r="Z512"/>
      <c r="AA512"/>
      <c r="AD512"/>
    </row>
    <row r="513" spans="11:30" ht="18" customHeight="1">
      <c r="K513" t="str">
        <f>IF(OR($I513="Čaká na integráciu",$J513="Integrácia"),"ÁNO","")</f>
        <v/>
      </c>
      <c r="L513" t="str">
        <f>IF(OR($I513="Čaká na biznis",$J513="Biznis",$J513="Švédsky biznis"),"ÁNO","")</f>
        <v/>
      </c>
      <c r="N513" s="2"/>
      <c r="O513" s="3"/>
      <c r="Q513"/>
      <c r="R513" s="3"/>
      <c r="S513" s="3"/>
      <c r="T513"/>
      <c r="U513"/>
      <c r="V513"/>
      <c r="W513"/>
      <c r="Z513"/>
      <c r="AA513"/>
      <c r="AD513"/>
    </row>
    <row r="514" spans="11:30" ht="18" customHeight="1">
      <c r="K514" t="str">
        <f>IF(OR($I514="Čaká na integráciu",$J514="Integrácia"),"ÁNO","")</f>
        <v/>
      </c>
      <c r="L514" t="str">
        <f>IF(OR($I514="Čaká na biznis",$J514="Biznis",$J514="Švédsky biznis"),"ÁNO","")</f>
        <v/>
      </c>
      <c r="N514" s="2"/>
      <c r="O514" s="3"/>
      <c r="Q514"/>
      <c r="R514" s="3"/>
      <c r="S514" s="3"/>
      <c r="T514"/>
      <c r="U514"/>
      <c r="V514"/>
      <c r="W514"/>
      <c r="Z514"/>
      <c r="AA514"/>
      <c r="AD514"/>
    </row>
    <row r="515" spans="11:30" ht="18" customHeight="1">
      <c r="K515" t="str">
        <f>IF(OR($I515="Čaká na integráciu",$J515="Integrácia"),"ÁNO","")</f>
        <v/>
      </c>
      <c r="L515" t="str">
        <f>IF(OR($I515="Čaká na biznis",$J515="Biznis",$J515="Švédsky biznis"),"ÁNO","")</f>
        <v/>
      </c>
      <c r="N515" s="2"/>
      <c r="O515" s="3"/>
      <c r="Q515"/>
      <c r="R515" s="3"/>
      <c r="S515" s="3"/>
      <c r="T515"/>
      <c r="U515"/>
      <c r="V515"/>
      <c r="W515"/>
      <c r="Z515"/>
      <c r="AA515"/>
      <c r="AD515"/>
    </row>
    <row r="516" spans="11:30" ht="18" customHeight="1">
      <c r="K516" t="str">
        <f>IF(OR($I516="Čaká na integráciu",$J516="Integrácia"),"ÁNO","")</f>
        <v/>
      </c>
      <c r="L516" t="str">
        <f>IF(OR($I516="Čaká na biznis",$J516="Biznis",$J516="Švédsky biznis"),"ÁNO","")</f>
        <v/>
      </c>
      <c r="N516" s="2"/>
      <c r="O516" s="3"/>
      <c r="Q516"/>
      <c r="R516" s="3"/>
      <c r="S516" s="3"/>
      <c r="T516"/>
      <c r="U516"/>
      <c r="V516"/>
      <c r="W516"/>
      <c r="Z516"/>
      <c r="AA516"/>
      <c r="AD516"/>
    </row>
    <row r="517" spans="11:30" ht="18" customHeight="1">
      <c r="K517" t="str">
        <f>IF(OR($I517="Čaká na integráciu",$J517="Integrácia"),"ÁNO","")</f>
        <v/>
      </c>
      <c r="L517" t="str">
        <f>IF(OR($I517="Čaká na biznis",$J517="Biznis",$J517="Švédsky biznis"),"ÁNO","")</f>
        <v/>
      </c>
      <c r="N517" s="2"/>
      <c r="O517" s="3"/>
      <c r="Q517"/>
      <c r="R517" s="3"/>
      <c r="S517" s="3"/>
      <c r="T517"/>
      <c r="U517"/>
      <c r="V517"/>
      <c r="W517"/>
      <c r="Z517"/>
      <c r="AA517"/>
      <c r="AD517"/>
    </row>
    <row r="518" spans="11:30" ht="18" customHeight="1">
      <c r="K518" t="str">
        <f>IF(OR($I518="Čaká na integráciu",$J518="Integrácia"),"ÁNO","")</f>
        <v/>
      </c>
      <c r="L518" t="str">
        <f>IF(OR($I518="Čaká na biznis",$J518="Biznis",$J518="Švédsky biznis"),"ÁNO","")</f>
        <v/>
      </c>
      <c r="N518" s="2"/>
      <c r="O518" s="3"/>
      <c r="Q518"/>
      <c r="R518" s="3"/>
      <c r="S518" s="3"/>
      <c r="T518"/>
      <c r="U518"/>
      <c r="V518"/>
      <c r="W518"/>
      <c r="Z518"/>
      <c r="AA518"/>
      <c r="AD518"/>
    </row>
    <row r="519" spans="11:30" ht="18" customHeight="1">
      <c r="K519" t="str">
        <f>IF(OR($I519="Čaká na integráciu",$J519="Integrácia"),"ÁNO","")</f>
        <v/>
      </c>
      <c r="L519" t="str">
        <f>IF(OR($I519="Čaká na biznis",$J519="Biznis",$J519="Švédsky biznis"),"ÁNO","")</f>
        <v/>
      </c>
      <c r="N519" s="2"/>
      <c r="O519" s="3"/>
      <c r="Q519"/>
      <c r="R519" s="3"/>
      <c r="S519" s="3"/>
      <c r="T519"/>
      <c r="U519"/>
      <c r="V519"/>
      <c r="W519"/>
      <c r="Z519"/>
      <c r="AA519"/>
      <c r="AD519"/>
    </row>
    <row r="520" spans="11:30" ht="18" customHeight="1">
      <c r="K520" t="str">
        <f>IF(OR($I520="Čaká na integráciu",$J520="Integrácia"),"ÁNO","")</f>
        <v/>
      </c>
      <c r="L520" t="str">
        <f>IF(OR($I520="Čaká na biznis",$J520="Biznis",$J520="Švédsky biznis"),"ÁNO","")</f>
        <v/>
      </c>
      <c r="N520" s="2"/>
      <c r="O520" s="3"/>
      <c r="Q520"/>
      <c r="R520" s="3"/>
      <c r="S520" s="3"/>
      <c r="T520"/>
      <c r="U520"/>
      <c r="V520"/>
      <c r="W520"/>
      <c r="Z520"/>
      <c r="AA520"/>
      <c r="AD520"/>
    </row>
    <row r="521" spans="11:30" ht="18" customHeight="1">
      <c r="K521" t="str">
        <f>IF(OR($I521="Čaká na integráciu",$J521="Integrácia"),"ÁNO","")</f>
        <v/>
      </c>
      <c r="L521" t="str">
        <f>IF(OR($I521="Čaká na biznis",$J521="Biznis",$J521="Švédsky biznis"),"ÁNO","")</f>
        <v/>
      </c>
      <c r="N521" s="2"/>
      <c r="O521" s="3"/>
      <c r="Q521"/>
      <c r="R521" s="3"/>
      <c r="S521" s="3"/>
      <c r="T521"/>
      <c r="U521"/>
      <c r="V521"/>
      <c r="W521"/>
      <c r="Z521"/>
      <c r="AA521"/>
      <c r="AD521"/>
    </row>
    <row r="522" spans="11:30" ht="18" customHeight="1">
      <c r="K522" t="str">
        <f>IF(OR($I522="Čaká na integráciu",$J522="Integrácia"),"ÁNO","")</f>
        <v/>
      </c>
      <c r="L522" t="str">
        <f>IF(OR($I522="Čaká na biznis",$J522="Biznis",$J522="Švédsky biznis"),"ÁNO","")</f>
        <v/>
      </c>
      <c r="N522" s="2"/>
      <c r="O522" s="3"/>
      <c r="Q522"/>
      <c r="R522" s="3"/>
      <c r="S522" s="3"/>
      <c r="T522"/>
      <c r="U522"/>
      <c r="V522"/>
      <c r="W522"/>
      <c r="Z522"/>
      <c r="AA522"/>
      <c r="AD522"/>
    </row>
    <row r="523" spans="11:30" ht="18" customHeight="1">
      <c r="K523" t="str">
        <f>IF(OR($I523="Čaká na integráciu",$J523="Integrácia"),"ÁNO","")</f>
        <v/>
      </c>
      <c r="L523" t="str">
        <f>IF(OR($I523="Čaká na biznis",$J523="Biznis",$J523="Švédsky biznis"),"ÁNO","")</f>
        <v/>
      </c>
      <c r="N523" s="2"/>
      <c r="O523" s="3"/>
      <c r="Q523"/>
      <c r="R523" s="3"/>
      <c r="S523" s="3"/>
      <c r="T523"/>
      <c r="U523"/>
      <c r="V523"/>
      <c r="W523"/>
      <c r="Z523"/>
      <c r="AA523"/>
      <c r="AD523"/>
    </row>
    <row r="524" spans="11:30" ht="18" customHeight="1">
      <c r="K524" t="str">
        <f>IF(OR($I524="Čaká na integráciu",$J524="Integrácia"),"ÁNO","")</f>
        <v/>
      </c>
      <c r="L524" t="str">
        <f>IF(OR($I524="Čaká na biznis",$J524="Biznis",$J524="Švédsky biznis"),"ÁNO","")</f>
        <v/>
      </c>
      <c r="N524" s="2"/>
      <c r="O524" s="3"/>
      <c r="Q524"/>
      <c r="R524" s="3"/>
      <c r="S524" s="3"/>
      <c r="T524"/>
      <c r="U524"/>
      <c r="V524"/>
      <c r="W524"/>
      <c r="Z524"/>
      <c r="AA524"/>
      <c r="AD524"/>
    </row>
    <row r="525" spans="11:30" ht="18" customHeight="1">
      <c r="K525" t="str">
        <f>IF(OR($I525="Čaká na integráciu",$J525="Integrácia"),"ÁNO","")</f>
        <v/>
      </c>
      <c r="L525" t="str">
        <f>IF(OR($I525="Čaká na biznis",$J525="Biznis",$J525="Švédsky biznis"),"ÁNO","")</f>
        <v/>
      </c>
      <c r="N525" s="2"/>
      <c r="O525" s="3"/>
      <c r="Q525"/>
      <c r="R525" s="3"/>
      <c r="S525" s="3"/>
      <c r="T525"/>
      <c r="U525"/>
      <c r="V525"/>
      <c r="W525"/>
      <c r="Z525"/>
      <c r="AA525"/>
      <c r="AD525"/>
    </row>
    <row r="526" spans="11:30" ht="18" customHeight="1">
      <c r="K526" t="str">
        <f>IF(OR($I526="Čaká na integráciu",$J526="Integrácia"),"ÁNO","")</f>
        <v/>
      </c>
      <c r="L526" t="str">
        <f>IF(OR($I526="Čaká na biznis",$J526="Biznis",$J526="Švédsky biznis"),"ÁNO","")</f>
        <v/>
      </c>
      <c r="N526" s="2"/>
      <c r="O526" s="3"/>
      <c r="Q526"/>
      <c r="R526" s="3"/>
      <c r="S526" s="3"/>
      <c r="T526"/>
      <c r="U526"/>
      <c r="V526"/>
      <c r="W526"/>
      <c r="Z526"/>
      <c r="AA526"/>
      <c r="AD526"/>
    </row>
    <row r="527" spans="11:30" ht="18" customHeight="1">
      <c r="K527" t="str">
        <f>IF(OR($I527="Čaká na integráciu",$J527="Integrácia"),"ÁNO","")</f>
        <v/>
      </c>
      <c r="L527" t="str">
        <f>IF(OR($I527="Čaká na biznis",$J527="Biznis",$J527="Švédsky biznis"),"ÁNO","")</f>
        <v/>
      </c>
      <c r="N527" s="2"/>
      <c r="O527" s="3"/>
      <c r="Q527"/>
      <c r="R527" s="3"/>
      <c r="S527" s="3"/>
      <c r="T527"/>
      <c r="U527"/>
      <c r="V527"/>
      <c r="W527"/>
      <c r="Z527"/>
      <c r="AA527"/>
      <c r="AD527"/>
    </row>
    <row r="528" spans="11:30" ht="18" customHeight="1">
      <c r="K528" t="str">
        <f>IF(OR($I528="Čaká na integráciu",$J528="Integrácia"),"ÁNO","")</f>
        <v/>
      </c>
      <c r="L528" t="str">
        <f>IF(OR($I528="Čaká na biznis",$J528="Biznis",$J528="Švédsky biznis"),"ÁNO","")</f>
        <v/>
      </c>
      <c r="N528" s="2"/>
      <c r="O528" s="3"/>
      <c r="Q528"/>
      <c r="R528" s="3"/>
      <c r="S528" s="3"/>
      <c r="T528"/>
      <c r="U528"/>
      <c r="V528"/>
      <c r="W528"/>
      <c r="Z528"/>
      <c r="AA528"/>
      <c r="AD528"/>
    </row>
    <row r="529" spans="11:30" ht="18" customHeight="1">
      <c r="K529" t="str">
        <f>IF(OR($I529="Čaká na integráciu",$J529="Integrácia"),"ÁNO","")</f>
        <v/>
      </c>
      <c r="L529" t="str">
        <f>IF(OR($I529="Čaká na biznis",$J529="Biznis",$J529="Švédsky biznis"),"ÁNO","")</f>
        <v/>
      </c>
      <c r="N529" s="2"/>
      <c r="O529" s="3"/>
      <c r="Q529"/>
      <c r="R529" s="3"/>
      <c r="S529" s="3"/>
      <c r="T529"/>
      <c r="U529"/>
      <c r="V529"/>
      <c r="W529"/>
      <c r="Z529"/>
      <c r="AA529"/>
      <c r="AD529"/>
    </row>
    <row r="530" spans="11:30" ht="18" customHeight="1">
      <c r="K530" t="str">
        <f>IF(OR($I530="Čaká na integráciu",$J530="Integrácia"),"ÁNO","")</f>
        <v/>
      </c>
      <c r="L530" t="str">
        <f>IF(OR($I530="Čaká na biznis",$J530="Biznis",$J530="Švédsky biznis"),"ÁNO","")</f>
        <v/>
      </c>
      <c r="N530" s="2"/>
      <c r="O530" s="3"/>
      <c r="Q530"/>
      <c r="R530" s="3"/>
      <c r="S530" s="3"/>
      <c r="T530"/>
      <c r="U530"/>
      <c r="V530"/>
      <c r="W530"/>
      <c r="Z530"/>
      <c r="AA530"/>
      <c r="AD530"/>
    </row>
    <row r="531" spans="11:30" ht="18" customHeight="1">
      <c r="K531" t="str">
        <f>IF(OR($I531="Čaká na integráciu",$J531="Integrácia"),"ÁNO","")</f>
        <v/>
      </c>
      <c r="L531" t="str">
        <f>IF(OR($I531="Čaká na biznis",$J531="Biznis",$J531="Švédsky biznis"),"ÁNO","")</f>
        <v/>
      </c>
      <c r="N531" s="2"/>
      <c r="O531" s="3"/>
      <c r="Q531"/>
      <c r="R531" s="3"/>
      <c r="S531" s="3"/>
      <c r="T531"/>
      <c r="U531"/>
      <c r="V531"/>
      <c r="W531"/>
      <c r="Z531"/>
      <c r="AA531"/>
      <c r="AD531"/>
    </row>
    <row r="532" spans="11:30" ht="18" customHeight="1">
      <c r="K532" t="str">
        <f>IF(OR($I532="Čaká na integráciu",$J532="Integrácia"),"ÁNO","")</f>
        <v/>
      </c>
      <c r="L532" t="str">
        <f>IF(OR($I532="Čaká na biznis",$J532="Biznis",$J532="Švédsky biznis"),"ÁNO","")</f>
        <v/>
      </c>
      <c r="N532" s="2"/>
      <c r="O532" s="3"/>
      <c r="Q532"/>
      <c r="R532" s="3"/>
      <c r="S532" s="3"/>
      <c r="T532"/>
      <c r="U532"/>
      <c r="V532"/>
      <c r="W532"/>
      <c r="Z532"/>
      <c r="AA532"/>
      <c r="AD532"/>
    </row>
    <row r="533" spans="11:30" ht="18" customHeight="1">
      <c r="K533" t="str">
        <f>IF(OR($I533="Čaká na integráciu",$J533="Integrácia"),"ÁNO","")</f>
        <v/>
      </c>
      <c r="L533" t="str">
        <f>IF(OR($I533="Čaká na biznis",$J533="Biznis",$J533="Švédsky biznis"),"ÁNO","")</f>
        <v/>
      </c>
      <c r="N533" s="2"/>
      <c r="O533" s="3"/>
      <c r="Q533"/>
      <c r="R533" s="3"/>
      <c r="S533" s="3"/>
      <c r="T533"/>
      <c r="U533"/>
      <c r="V533"/>
      <c r="W533"/>
      <c r="Z533"/>
      <c r="AA533"/>
      <c r="AD533"/>
    </row>
    <row r="534" spans="11:30" ht="18" customHeight="1">
      <c r="K534" t="str">
        <f>IF(OR($I534="Čaká na integráciu",$J534="Integrácia"),"ÁNO","")</f>
        <v/>
      </c>
      <c r="L534" t="str">
        <f>IF(OR($I534="Čaká na biznis",$J534="Biznis",$J534="Švédsky biznis"),"ÁNO","")</f>
        <v/>
      </c>
      <c r="N534" s="2"/>
      <c r="O534" s="3"/>
      <c r="Q534"/>
      <c r="R534" s="3"/>
      <c r="S534" s="3"/>
      <c r="T534"/>
      <c r="U534"/>
      <c r="V534"/>
      <c r="W534"/>
      <c r="Z534"/>
      <c r="AA534"/>
      <c r="AD534"/>
    </row>
    <row r="535" spans="11:30" ht="18" customHeight="1">
      <c r="K535" t="str">
        <f>IF(OR($I535="Čaká na integráciu",$J535="Integrácia"),"ÁNO","")</f>
        <v/>
      </c>
      <c r="L535" t="str">
        <f>IF(OR($I535="Čaká na biznis",$J535="Biznis",$J535="Švédsky biznis"),"ÁNO","")</f>
        <v/>
      </c>
      <c r="N535" s="2"/>
      <c r="O535" s="3"/>
      <c r="Q535"/>
      <c r="R535" s="3"/>
      <c r="S535" s="3"/>
      <c r="T535"/>
      <c r="U535"/>
      <c r="V535"/>
      <c r="W535"/>
      <c r="Z535"/>
      <c r="AA535"/>
      <c r="AD535"/>
    </row>
    <row r="536" spans="11:30" ht="18" customHeight="1">
      <c r="K536" t="str">
        <f>IF(OR($I536="Čaká na integráciu",$J536="Integrácia"),"ÁNO","")</f>
        <v/>
      </c>
      <c r="L536" t="str">
        <f>IF(OR($I536="Čaká na biznis",$J536="Biznis",$J536="Švédsky biznis"),"ÁNO","")</f>
        <v/>
      </c>
      <c r="N536" s="2"/>
      <c r="O536" s="3"/>
      <c r="Q536"/>
      <c r="R536" s="3"/>
      <c r="S536" s="3"/>
      <c r="T536"/>
      <c r="U536"/>
      <c r="V536"/>
      <c r="W536"/>
      <c r="Z536"/>
      <c r="AA536"/>
      <c r="AD536"/>
    </row>
    <row r="537" spans="11:30" ht="18" customHeight="1">
      <c r="K537" t="str">
        <f>IF(OR($I537="Čaká na integráciu",$J537="Integrácia"),"ÁNO","")</f>
        <v/>
      </c>
      <c r="L537" t="str">
        <f>IF(OR($I537="Čaká na biznis",$J537="Biznis",$J537="Švédsky biznis"),"ÁNO","")</f>
        <v/>
      </c>
      <c r="N537" s="2"/>
      <c r="O537" s="3"/>
      <c r="Q537"/>
      <c r="R537" s="3"/>
      <c r="S537" s="3"/>
      <c r="T537"/>
      <c r="U537"/>
      <c r="V537"/>
      <c r="W537"/>
      <c r="Z537"/>
      <c r="AA537"/>
      <c r="AD537"/>
    </row>
    <row r="538" spans="11:30" ht="18" customHeight="1">
      <c r="K538" t="str">
        <f>IF(OR($I538="Čaká na integráciu",$J538="Integrácia"),"ÁNO","")</f>
        <v/>
      </c>
      <c r="L538" t="str">
        <f>IF(OR($I538="Čaká na biznis",$J538="Biznis",$J538="Švédsky biznis"),"ÁNO","")</f>
        <v/>
      </c>
      <c r="N538" s="2"/>
      <c r="O538" s="3"/>
      <c r="Q538"/>
      <c r="R538" s="3"/>
      <c r="S538" s="3"/>
      <c r="T538"/>
      <c r="U538"/>
      <c r="V538"/>
      <c r="W538"/>
      <c r="Z538"/>
      <c r="AA538"/>
      <c r="AD538"/>
    </row>
    <row r="539" spans="11:30" ht="18" customHeight="1">
      <c r="K539" t="str">
        <f>IF(OR($I539="Čaká na integráciu",$J539="Integrácia"),"ÁNO","")</f>
        <v/>
      </c>
      <c r="L539" t="str">
        <f>IF(OR($I539="Čaká na biznis",$J539="Biznis",$J539="Švédsky biznis"),"ÁNO","")</f>
        <v/>
      </c>
      <c r="N539" s="2"/>
      <c r="O539" s="3"/>
      <c r="Q539"/>
      <c r="R539" s="3"/>
      <c r="S539" s="3"/>
      <c r="T539"/>
      <c r="U539"/>
      <c r="V539"/>
      <c r="W539"/>
      <c r="Z539"/>
      <c r="AA539"/>
      <c r="AD539"/>
    </row>
    <row r="540" spans="11:30" ht="18" customHeight="1">
      <c r="K540" t="str">
        <f>IF(OR($I540="Čaká na integráciu",$J540="Integrácia"),"ÁNO","")</f>
        <v/>
      </c>
      <c r="L540" t="str">
        <f>IF(OR($I540="Čaká na biznis",$J540="Biznis",$J540="Švédsky biznis"),"ÁNO","")</f>
        <v/>
      </c>
      <c r="N540" s="2"/>
      <c r="O540" s="3"/>
      <c r="Q540"/>
      <c r="R540" s="3"/>
      <c r="S540" s="3"/>
      <c r="T540"/>
      <c r="U540"/>
      <c r="V540"/>
      <c r="W540"/>
      <c r="Z540"/>
      <c r="AA540"/>
      <c r="AD540"/>
    </row>
    <row r="541" spans="11:30" ht="18" customHeight="1">
      <c r="K541" t="str">
        <f>IF(OR($I541="Čaká na integráciu",$J541="Integrácia"),"ÁNO","")</f>
        <v/>
      </c>
      <c r="L541" t="str">
        <f>IF(OR($I541="Čaká na biznis",$J541="Biznis",$J541="Švédsky biznis"),"ÁNO","")</f>
        <v/>
      </c>
      <c r="N541" s="2"/>
      <c r="O541" s="3"/>
      <c r="Q541"/>
      <c r="R541" s="3"/>
      <c r="S541" s="3"/>
      <c r="T541"/>
      <c r="U541"/>
      <c r="V541"/>
      <c r="W541"/>
      <c r="Z541"/>
      <c r="AA541"/>
      <c r="AD541"/>
    </row>
    <row r="542" spans="11:30" ht="18" customHeight="1">
      <c r="K542" t="str">
        <f>IF(OR($I542="Čaká na integráciu",$J542="Integrácia"),"ÁNO","")</f>
        <v/>
      </c>
      <c r="L542" t="str">
        <f>IF(OR($I542="Čaká na biznis",$J542="Biznis",$J542="Švédsky biznis"),"ÁNO","")</f>
        <v/>
      </c>
      <c r="N542" s="2"/>
      <c r="O542" s="3"/>
      <c r="Q542"/>
      <c r="R542" s="3"/>
      <c r="S542" s="3"/>
      <c r="T542"/>
      <c r="U542"/>
      <c r="V542"/>
      <c r="W542"/>
      <c r="Z542"/>
      <c r="AA542"/>
      <c r="AD542"/>
    </row>
    <row r="543" spans="11:30" ht="18" customHeight="1">
      <c r="K543" t="str">
        <f>IF(OR($I543="Čaká na integráciu",$J543="Integrácia"),"ÁNO","")</f>
        <v/>
      </c>
      <c r="L543" t="str">
        <f>IF(OR($I543="Čaká na biznis",$J543="Biznis",$J543="Švédsky biznis"),"ÁNO","")</f>
        <v/>
      </c>
      <c r="N543" s="2"/>
      <c r="O543" s="3"/>
      <c r="Q543"/>
      <c r="R543" s="3"/>
      <c r="S543" s="3"/>
      <c r="T543"/>
      <c r="U543"/>
      <c r="V543"/>
      <c r="W543"/>
      <c r="Z543"/>
      <c r="AA543"/>
      <c r="AD543"/>
    </row>
    <row r="544" spans="11:30" ht="18" customHeight="1">
      <c r="K544" t="str">
        <f>IF(OR($I544="Čaká na integráciu",$J544="Integrácia"),"ÁNO","")</f>
        <v/>
      </c>
      <c r="L544" t="str">
        <f>IF(OR($I544="Čaká na biznis",$J544="Biznis",$J544="Švédsky biznis"),"ÁNO","")</f>
        <v/>
      </c>
      <c r="N544" s="2"/>
      <c r="O544" s="3"/>
      <c r="Q544"/>
      <c r="R544" s="3"/>
      <c r="S544" s="3"/>
      <c r="T544"/>
      <c r="U544"/>
      <c r="V544"/>
      <c r="W544"/>
      <c r="Z544"/>
      <c r="AA544"/>
      <c r="AD544"/>
    </row>
    <row r="545" spans="11:30" ht="18" customHeight="1">
      <c r="K545" t="str">
        <f>IF(OR($I545="Čaká na integráciu",$J545="Integrácia"),"ÁNO","")</f>
        <v/>
      </c>
      <c r="L545" t="str">
        <f>IF(OR($I545="Čaká na biznis",$J545="Biznis",$J545="Švédsky biznis"),"ÁNO","")</f>
        <v/>
      </c>
      <c r="N545" s="2"/>
      <c r="O545" s="3"/>
      <c r="Q545"/>
      <c r="R545" s="3"/>
      <c r="S545" s="3"/>
      <c r="T545"/>
      <c r="U545"/>
      <c r="V545"/>
      <c r="W545"/>
      <c r="Z545"/>
      <c r="AA545"/>
      <c r="AD545"/>
    </row>
    <row r="546" spans="11:30" ht="18" customHeight="1">
      <c r="K546" t="str">
        <f>IF(OR($I546="Čaká na integráciu",$J546="Integrácia"),"ÁNO","")</f>
        <v/>
      </c>
      <c r="L546" t="str">
        <f>IF(OR($I546="Čaká na biznis",$J546="Biznis",$J546="Švédsky biznis"),"ÁNO","")</f>
        <v/>
      </c>
      <c r="N546" s="2"/>
      <c r="O546" s="3"/>
      <c r="Q546"/>
      <c r="R546" s="3"/>
      <c r="S546" s="3"/>
      <c r="T546"/>
      <c r="U546"/>
      <c r="V546"/>
      <c r="W546"/>
      <c r="Z546"/>
      <c r="AA546"/>
      <c r="AD546"/>
    </row>
    <row r="547" spans="11:30" ht="18" customHeight="1">
      <c r="K547" t="str">
        <f>IF(OR($I547="Čaká na integráciu",$J547="Integrácia"),"ÁNO","")</f>
        <v/>
      </c>
      <c r="L547" t="str">
        <f>IF(OR($I547="Čaká na biznis",$J547="Biznis",$J547="Švédsky biznis"),"ÁNO","")</f>
        <v/>
      </c>
      <c r="N547" s="2"/>
      <c r="O547" s="3"/>
      <c r="Q547"/>
      <c r="R547" s="3"/>
      <c r="S547" s="3"/>
      <c r="T547"/>
      <c r="U547"/>
      <c r="V547"/>
      <c r="W547"/>
      <c r="Z547"/>
      <c r="AA547"/>
      <c r="AD547"/>
    </row>
    <row r="548" spans="11:30" ht="18" customHeight="1">
      <c r="K548" t="str">
        <f>IF(OR($I548="Čaká na integráciu",$J548="Integrácia"),"ÁNO","")</f>
        <v/>
      </c>
      <c r="L548" t="str">
        <f>IF(OR($I548="Čaká na biznis",$J548="Biznis",$J548="Švédsky biznis"),"ÁNO","")</f>
        <v/>
      </c>
      <c r="N548" s="2"/>
      <c r="O548" s="3"/>
      <c r="Q548"/>
      <c r="R548" s="3"/>
      <c r="S548" s="3"/>
      <c r="T548"/>
      <c r="U548"/>
      <c r="V548"/>
      <c r="W548"/>
      <c r="Z548"/>
      <c r="AA548"/>
      <c r="AD548"/>
    </row>
    <row r="549" spans="11:30" ht="18" customHeight="1">
      <c r="K549" t="str">
        <f>IF(OR($I549="Čaká na integráciu",$J549="Integrácia"),"ÁNO","")</f>
        <v/>
      </c>
      <c r="L549" t="str">
        <f>IF(OR($I549="Čaká na biznis",$J549="Biznis",$J549="Švédsky biznis"),"ÁNO","")</f>
        <v/>
      </c>
      <c r="N549" s="2"/>
      <c r="O549" s="3"/>
      <c r="Q549"/>
      <c r="R549" s="3"/>
      <c r="S549" s="3"/>
      <c r="T549"/>
      <c r="U549"/>
      <c r="V549"/>
      <c r="W549"/>
      <c r="Z549"/>
      <c r="AA549"/>
      <c r="AD549"/>
    </row>
    <row r="550" spans="11:30" ht="18" customHeight="1">
      <c r="K550" t="str">
        <f>IF(OR($I550="Čaká na integráciu",$J550="Integrácia"),"ÁNO","")</f>
        <v/>
      </c>
      <c r="L550" t="str">
        <f>IF(OR($I550="Čaká na biznis",$J550="Biznis",$J550="Švédsky biznis"),"ÁNO","")</f>
        <v/>
      </c>
      <c r="N550" s="2"/>
      <c r="O550" s="3"/>
      <c r="Q550"/>
      <c r="R550" s="3"/>
      <c r="S550" s="3"/>
      <c r="T550"/>
      <c r="U550"/>
      <c r="V550"/>
      <c r="W550"/>
      <c r="Z550"/>
      <c r="AA550"/>
      <c r="AD550"/>
    </row>
    <row r="551" spans="11:30" ht="18" customHeight="1">
      <c r="K551" t="str">
        <f>IF(OR($I551="Čaká na integráciu",$J551="Integrácia"),"ÁNO","")</f>
        <v/>
      </c>
      <c r="L551" t="str">
        <f>IF(OR($I551="Čaká na biznis",$J551="Biznis",$J551="Švédsky biznis"),"ÁNO","")</f>
        <v/>
      </c>
      <c r="N551" s="2"/>
      <c r="O551" s="3"/>
      <c r="Q551"/>
      <c r="R551" s="3"/>
      <c r="S551" s="3"/>
      <c r="T551"/>
      <c r="U551"/>
      <c r="V551"/>
      <c r="W551"/>
      <c r="Z551"/>
      <c r="AA551"/>
      <c r="AD551"/>
    </row>
    <row r="552" spans="11:30" ht="18" customHeight="1">
      <c r="K552" t="str">
        <f>IF(OR($I552="Čaká na integráciu",$J552="Integrácia"),"ÁNO","")</f>
        <v/>
      </c>
      <c r="L552" t="str">
        <f>IF(OR($I552="Čaká na biznis",$J552="Biznis",$J552="Švédsky biznis"),"ÁNO","")</f>
        <v/>
      </c>
      <c r="N552" s="2"/>
      <c r="O552" s="3"/>
      <c r="Q552"/>
      <c r="R552" s="3"/>
      <c r="S552" s="3"/>
      <c r="T552"/>
      <c r="U552"/>
      <c r="V552"/>
      <c r="W552"/>
      <c r="Z552"/>
      <c r="AA552"/>
      <c r="AD552"/>
    </row>
    <row r="553" spans="11:30" ht="18" customHeight="1">
      <c r="K553" t="str">
        <f>IF(OR($I553="Čaká na integráciu",$J553="Integrácia"),"ÁNO","")</f>
        <v/>
      </c>
      <c r="L553" t="str">
        <f>IF(OR($I553="Čaká na biznis",$J553="Biznis",$J553="Švédsky biznis"),"ÁNO","")</f>
        <v/>
      </c>
      <c r="N553" s="2"/>
      <c r="O553" s="3"/>
      <c r="Q553"/>
      <c r="R553" s="3"/>
      <c r="S553" s="3"/>
      <c r="T553"/>
      <c r="U553"/>
      <c r="V553"/>
      <c r="W553"/>
      <c r="Z553"/>
      <c r="AA553"/>
      <c r="AD553"/>
    </row>
    <row r="554" spans="11:30" ht="18" customHeight="1">
      <c r="K554" t="str">
        <f>IF(OR($I554="Čaká na integráciu",$J554="Integrácia"),"ÁNO","")</f>
        <v/>
      </c>
      <c r="L554" t="str">
        <f>IF(OR($I554="Čaká na biznis",$J554="Biznis",$J554="Švédsky biznis"),"ÁNO","")</f>
        <v/>
      </c>
      <c r="N554" s="2"/>
      <c r="O554" s="3"/>
      <c r="Q554"/>
      <c r="R554" s="3"/>
      <c r="S554" s="3"/>
      <c r="T554"/>
      <c r="U554"/>
      <c r="V554"/>
      <c r="W554"/>
      <c r="Z554"/>
      <c r="AA554"/>
      <c r="AD554"/>
    </row>
    <row r="555" spans="11:30" ht="18" customHeight="1">
      <c r="K555" t="str">
        <f>IF(OR($I555="Čaká na integráciu",$J555="Integrácia"),"ÁNO","")</f>
        <v/>
      </c>
      <c r="L555" t="str">
        <f>IF(OR($I555="Čaká na biznis",$J555="Biznis",$J555="Švédsky biznis"),"ÁNO","")</f>
        <v/>
      </c>
      <c r="N555" s="2"/>
      <c r="O555" s="3"/>
      <c r="Q555"/>
      <c r="R555" s="3"/>
      <c r="S555" s="3"/>
      <c r="T555"/>
      <c r="U555"/>
      <c r="V555"/>
      <c r="W555"/>
      <c r="Z555"/>
      <c r="AA555"/>
      <c r="AD555"/>
    </row>
    <row r="556" spans="11:30" ht="18" customHeight="1">
      <c r="K556" t="str">
        <f>IF(OR($I556="Čaká na integráciu",$J556="Integrácia"),"ÁNO","")</f>
        <v/>
      </c>
      <c r="L556" t="str">
        <f>IF(OR($I556="Čaká na biznis",$J556="Biznis",$J556="Švédsky biznis"),"ÁNO","")</f>
        <v/>
      </c>
      <c r="N556" s="2"/>
      <c r="O556" s="3"/>
      <c r="Q556"/>
      <c r="R556" s="3"/>
      <c r="S556" s="3"/>
      <c r="T556"/>
      <c r="U556"/>
      <c r="V556"/>
      <c r="W556"/>
      <c r="Z556"/>
      <c r="AA556"/>
      <c r="AD556"/>
    </row>
    <row r="557" spans="11:30" ht="18" customHeight="1">
      <c r="K557" t="str">
        <f>IF(OR($I557="Čaká na integráciu",$J557="Integrácia"),"ÁNO","")</f>
        <v/>
      </c>
      <c r="L557" t="str">
        <f>IF(OR($I557="Čaká na biznis",$J557="Biznis",$J557="Švédsky biznis"),"ÁNO","")</f>
        <v/>
      </c>
      <c r="N557" s="2"/>
      <c r="O557" s="3"/>
      <c r="Q557"/>
      <c r="R557" s="3"/>
      <c r="S557" s="3"/>
      <c r="T557"/>
      <c r="U557"/>
      <c r="V557"/>
      <c r="W557"/>
      <c r="Z557"/>
      <c r="AA557"/>
      <c r="AD557"/>
    </row>
    <row r="558" spans="11:30" ht="18" customHeight="1">
      <c r="K558" t="str">
        <f>IF(OR($I558="Čaká na integráciu",$J558="Integrácia"),"ÁNO","")</f>
        <v/>
      </c>
      <c r="L558" t="str">
        <f>IF(OR($I558="Čaká na biznis",$J558="Biznis",$J558="Švédsky biznis"),"ÁNO","")</f>
        <v/>
      </c>
      <c r="N558" s="2"/>
      <c r="O558" s="3"/>
      <c r="Q558"/>
      <c r="R558" s="3"/>
      <c r="S558" s="3"/>
      <c r="T558"/>
      <c r="U558"/>
      <c r="V558"/>
      <c r="W558"/>
      <c r="Z558"/>
      <c r="AA558"/>
      <c r="AD558"/>
    </row>
    <row r="559" spans="11:30" ht="18" customHeight="1">
      <c r="K559" t="str">
        <f>IF(OR($I559="Čaká na integráciu",$J559="Integrácia"),"ÁNO","")</f>
        <v/>
      </c>
      <c r="L559" t="str">
        <f>IF(OR($I559="Čaká na biznis",$J559="Biznis",$J559="Švédsky biznis"),"ÁNO","")</f>
        <v/>
      </c>
      <c r="N559" s="2"/>
      <c r="O559" s="3"/>
      <c r="Q559"/>
      <c r="R559" s="3"/>
      <c r="S559" s="3"/>
      <c r="T559"/>
      <c r="U559"/>
      <c r="V559"/>
      <c r="W559"/>
      <c r="Z559"/>
      <c r="AA559"/>
      <c r="AD559"/>
    </row>
    <row r="560" spans="11:30" ht="18" customHeight="1">
      <c r="K560" t="str">
        <f>IF(OR($I560="Čaká na integráciu",$J560="Integrácia"),"ÁNO","")</f>
        <v/>
      </c>
      <c r="L560" t="str">
        <f>IF(OR($I560="Čaká na biznis",$J560="Biznis",$J560="Švédsky biznis"),"ÁNO","")</f>
        <v/>
      </c>
      <c r="N560" s="2"/>
      <c r="O560" s="3"/>
      <c r="Q560"/>
      <c r="R560" s="3"/>
      <c r="S560" s="3"/>
      <c r="T560"/>
      <c r="U560"/>
      <c r="V560"/>
      <c r="W560"/>
      <c r="Z560"/>
      <c r="AA560"/>
      <c r="AD560"/>
    </row>
    <row r="561" spans="11:30" ht="18" customHeight="1">
      <c r="K561" t="str">
        <f>IF(OR($I561="Čaká na integráciu",$J561="Integrácia"),"ÁNO","")</f>
        <v/>
      </c>
      <c r="L561" t="str">
        <f>IF(OR($I561="Čaká na biznis",$J561="Biznis",$J561="Švédsky biznis"),"ÁNO","")</f>
        <v/>
      </c>
      <c r="N561" s="2"/>
      <c r="O561" s="3"/>
      <c r="Q561"/>
      <c r="R561" s="3"/>
      <c r="S561" s="3"/>
      <c r="T561"/>
      <c r="U561"/>
      <c r="V561"/>
      <c r="W561"/>
      <c r="Z561"/>
      <c r="AA561"/>
      <c r="AD561"/>
    </row>
    <row r="562" spans="11:30" ht="18" customHeight="1">
      <c r="K562" t="str">
        <f>IF(OR($I562="Čaká na integráciu",$J562="Integrácia"),"ÁNO","")</f>
        <v/>
      </c>
      <c r="L562" t="str">
        <f>IF(OR($I562="Čaká na biznis",$J562="Biznis",$J562="Švédsky biznis"),"ÁNO","")</f>
        <v/>
      </c>
      <c r="N562" s="2"/>
      <c r="O562" s="3"/>
      <c r="Q562"/>
      <c r="R562" s="3"/>
      <c r="S562" s="3"/>
      <c r="T562"/>
      <c r="U562"/>
      <c r="V562"/>
      <c r="W562"/>
      <c r="Z562"/>
      <c r="AA562"/>
      <c r="AD562"/>
    </row>
    <row r="563" spans="11:30" ht="18" customHeight="1">
      <c r="K563" t="str">
        <f>IF(OR($I563="Čaká na integráciu",$J563="Integrácia"),"ÁNO","")</f>
        <v/>
      </c>
      <c r="L563" t="str">
        <f>IF(OR($I563="Čaká na biznis",$J563="Biznis",$J563="Švédsky biznis"),"ÁNO","")</f>
        <v/>
      </c>
      <c r="N563" s="2"/>
      <c r="O563" s="3"/>
      <c r="Q563"/>
      <c r="R563" s="3"/>
      <c r="S563" s="3"/>
      <c r="T563"/>
      <c r="U563"/>
      <c r="V563"/>
      <c r="W563"/>
      <c r="Z563"/>
      <c r="AA563"/>
      <c r="AD563"/>
    </row>
    <row r="564" spans="11:30" ht="18" customHeight="1">
      <c r="K564" t="str">
        <f>IF(OR($I564="Čaká na integráciu",$J564="Integrácia"),"ÁNO","")</f>
        <v/>
      </c>
      <c r="L564" t="str">
        <f>IF(OR($I564="Čaká na biznis",$J564="Biznis",$J564="Švédsky biznis"),"ÁNO","")</f>
        <v/>
      </c>
      <c r="N564" s="2"/>
      <c r="O564" s="3"/>
      <c r="Q564"/>
      <c r="R564" s="3"/>
      <c r="S564" s="3"/>
      <c r="T564"/>
      <c r="U564"/>
      <c r="V564"/>
      <c r="W564"/>
      <c r="Z564"/>
      <c r="AA564"/>
      <c r="AD564"/>
    </row>
    <row r="565" spans="11:30" ht="18" customHeight="1">
      <c r="K565" t="str">
        <f>IF(OR($I565="Čaká na integráciu",$J565="Integrácia"),"ÁNO","")</f>
        <v/>
      </c>
      <c r="L565" t="str">
        <f>IF(OR($I565="Čaká na biznis",$J565="Biznis",$J565="Švédsky biznis"),"ÁNO","")</f>
        <v/>
      </c>
      <c r="N565" s="2"/>
      <c r="O565" s="3"/>
      <c r="Q565"/>
      <c r="R565" s="3"/>
      <c r="S565" s="3"/>
      <c r="T565"/>
      <c r="U565"/>
      <c r="V565"/>
      <c r="W565"/>
      <c r="Z565"/>
      <c r="AA565"/>
      <c r="AD565"/>
    </row>
    <row r="566" spans="11:30" ht="18" customHeight="1">
      <c r="K566" t="str">
        <f>IF(OR($I566="Čaká na integráciu",$J566="Integrácia"),"ÁNO","")</f>
        <v/>
      </c>
      <c r="L566" t="str">
        <f>IF(OR($I566="Čaká na biznis",$J566="Biznis",$J566="Švédsky biznis"),"ÁNO","")</f>
        <v/>
      </c>
      <c r="N566" s="2"/>
      <c r="O566" s="3"/>
      <c r="Q566"/>
      <c r="R566" s="3"/>
      <c r="S566" s="3"/>
      <c r="T566"/>
      <c r="U566"/>
      <c r="V566"/>
      <c r="W566"/>
      <c r="Z566"/>
      <c r="AA566"/>
      <c r="AD566"/>
    </row>
    <row r="567" spans="11:30" ht="18" customHeight="1">
      <c r="K567" t="str">
        <f>IF(OR($I567="Čaká na integráciu",$J567="Integrácia"),"ÁNO","")</f>
        <v/>
      </c>
      <c r="L567" t="str">
        <f>IF(OR($I567="Čaká na biznis",$J567="Biznis",$J567="Švédsky biznis"),"ÁNO","")</f>
        <v/>
      </c>
      <c r="N567" s="2"/>
      <c r="O567" s="3"/>
      <c r="Q567"/>
      <c r="R567" s="3"/>
      <c r="S567" s="3"/>
      <c r="T567"/>
      <c r="U567"/>
      <c r="V567"/>
      <c r="W567"/>
      <c r="Z567"/>
      <c r="AA567"/>
      <c r="AD567"/>
    </row>
    <row r="568" spans="11:30" ht="18" customHeight="1">
      <c r="K568" t="str">
        <f>IF(OR($I568="Čaká na integráciu",$J568="Integrácia"),"ÁNO","")</f>
        <v/>
      </c>
      <c r="L568" t="str">
        <f>IF(OR($I568="Čaká na biznis",$J568="Biznis",$J568="Švédsky biznis"),"ÁNO","")</f>
        <v/>
      </c>
      <c r="N568" s="2"/>
      <c r="O568" s="3"/>
      <c r="Q568"/>
      <c r="R568" s="3"/>
      <c r="S568" s="3"/>
      <c r="T568"/>
      <c r="U568"/>
      <c r="V568"/>
      <c r="W568"/>
      <c r="Z568"/>
      <c r="AA568"/>
      <c r="AD568"/>
    </row>
    <row r="569" spans="11:30" ht="18" customHeight="1">
      <c r="K569" t="str">
        <f>IF(OR($I569="Čaká na integráciu",$J569="Integrácia"),"ÁNO","")</f>
        <v/>
      </c>
      <c r="L569" t="str">
        <f>IF(OR($I569="Čaká na biznis",$J569="Biznis",$J569="Švédsky biznis"),"ÁNO","")</f>
        <v/>
      </c>
      <c r="N569" s="2"/>
      <c r="O569" s="3"/>
      <c r="Q569"/>
      <c r="R569" s="3"/>
      <c r="S569" s="3"/>
      <c r="T569"/>
      <c r="U569"/>
      <c r="V569"/>
      <c r="W569"/>
      <c r="Z569"/>
      <c r="AA569"/>
      <c r="AD569"/>
    </row>
    <row r="570" spans="11:30" ht="18" customHeight="1">
      <c r="K570" t="str">
        <f>IF(OR($I570="Čaká na integráciu",$J570="Integrácia"),"ÁNO","")</f>
        <v/>
      </c>
      <c r="L570" t="str">
        <f>IF(OR($I570="Čaká na biznis",$J570="Biznis",$J570="Švédsky biznis"),"ÁNO","")</f>
        <v/>
      </c>
      <c r="N570" s="2"/>
      <c r="O570" s="3"/>
      <c r="Q570"/>
      <c r="R570" s="3"/>
      <c r="S570" s="3"/>
      <c r="T570"/>
      <c r="U570"/>
      <c r="V570"/>
      <c r="W570"/>
      <c r="Z570"/>
      <c r="AA570"/>
      <c r="AD570"/>
    </row>
    <row r="571" spans="11:30" ht="18" customHeight="1">
      <c r="K571" t="str">
        <f>IF(OR($I571="Čaká na integráciu",$J571="Integrácia"),"ÁNO","")</f>
        <v/>
      </c>
      <c r="L571" t="str">
        <f>IF(OR($I571="Čaká na biznis",$J571="Biznis",$J571="Švédsky biznis"),"ÁNO","")</f>
        <v/>
      </c>
      <c r="N571" s="2"/>
      <c r="O571" s="3"/>
      <c r="Q571"/>
      <c r="R571" s="3"/>
      <c r="S571" s="3"/>
      <c r="T571"/>
      <c r="U571"/>
      <c r="V571"/>
      <c r="W571"/>
      <c r="Z571"/>
      <c r="AA571"/>
      <c r="AD571"/>
    </row>
    <row r="572" spans="11:30" ht="18" customHeight="1">
      <c r="K572" t="str">
        <f>IF(OR($I572="Čaká na integráciu",$J572="Integrácia"),"ÁNO","")</f>
        <v/>
      </c>
      <c r="L572" t="str">
        <f>IF(OR($I572="Čaká na biznis",$J572="Biznis",$J572="Švédsky biznis"),"ÁNO","")</f>
        <v/>
      </c>
      <c r="N572" s="2"/>
      <c r="O572" s="3"/>
      <c r="Q572"/>
      <c r="R572" s="3"/>
      <c r="S572" s="3"/>
      <c r="T572"/>
      <c r="U572"/>
      <c r="V572"/>
      <c r="W572"/>
      <c r="Z572"/>
      <c r="AA572"/>
      <c r="AD572"/>
    </row>
    <row r="573" spans="11:30" ht="18" customHeight="1">
      <c r="K573" t="str">
        <f>IF(OR($I573="Čaká na integráciu",$J573="Integrácia"),"ÁNO","")</f>
        <v/>
      </c>
      <c r="L573" t="str">
        <f>IF(OR($I573="Čaká na biznis",$J573="Biznis",$J573="Švédsky biznis"),"ÁNO","")</f>
        <v/>
      </c>
      <c r="N573" s="2"/>
      <c r="O573" s="3"/>
      <c r="Q573"/>
      <c r="R573" s="3"/>
      <c r="S573" s="3"/>
      <c r="T573"/>
      <c r="U573"/>
      <c r="V573"/>
      <c r="W573"/>
      <c r="Z573"/>
      <c r="AA573"/>
      <c r="AD573"/>
    </row>
    <row r="574" spans="11:30" ht="18" customHeight="1">
      <c r="K574" t="str">
        <f>IF(OR($I574="Čaká na integráciu",$J574="Integrácia"),"ÁNO","")</f>
        <v/>
      </c>
      <c r="L574" t="str">
        <f>IF(OR($I574="Čaká na biznis",$J574="Biznis",$J574="Švédsky biznis"),"ÁNO","")</f>
        <v/>
      </c>
      <c r="N574" s="2"/>
      <c r="O574" s="3"/>
      <c r="Q574"/>
      <c r="R574" s="3"/>
      <c r="S574" s="3"/>
      <c r="T574"/>
      <c r="U574"/>
      <c r="V574"/>
      <c r="W574"/>
      <c r="Z574"/>
      <c r="AA574"/>
      <c r="AD574"/>
    </row>
    <row r="575" spans="11:30" ht="18" customHeight="1">
      <c r="K575" t="str">
        <f>IF(OR($I575="Čaká na integráciu",$J575="Integrácia"),"ÁNO","")</f>
        <v/>
      </c>
      <c r="L575" t="str">
        <f>IF(OR($I575="Čaká na biznis",$J575="Biznis",$J575="Švédsky biznis"),"ÁNO","")</f>
        <v/>
      </c>
      <c r="N575" s="2"/>
      <c r="O575" s="3"/>
      <c r="Q575"/>
      <c r="R575" s="3"/>
      <c r="S575" s="3"/>
      <c r="T575"/>
      <c r="U575"/>
      <c r="V575"/>
      <c r="W575"/>
      <c r="Z575"/>
      <c r="AA575"/>
      <c r="AD575"/>
    </row>
    <row r="576" spans="11:30" ht="18" customHeight="1">
      <c r="K576" t="str">
        <f>IF(OR($I576="Čaká na integráciu",$J576="Integrácia"),"ÁNO","")</f>
        <v/>
      </c>
      <c r="L576" t="str">
        <f>IF(OR($I576="Čaká na biznis",$J576="Biznis",$J576="Švédsky biznis"),"ÁNO","")</f>
        <v/>
      </c>
      <c r="N576" s="2"/>
      <c r="O576" s="3"/>
      <c r="Q576"/>
      <c r="R576" s="3"/>
      <c r="S576" s="3"/>
      <c r="T576"/>
      <c r="U576"/>
      <c r="V576"/>
      <c r="W576"/>
      <c r="Z576"/>
      <c r="AA576"/>
      <c r="AD576"/>
    </row>
    <row r="577" spans="11:30" ht="18" customHeight="1">
      <c r="K577" t="str">
        <f>IF(OR($I577="Čaká na integráciu",$J577="Integrácia"),"ÁNO","")</f>
        <v/>
      </c>
      <c r="L577" t="str">
        <f>IF(OR($I577="Čaká na biznis",$J577="Biznis",$J577="Švédsky biznis"),"ÁNO","")</f>
        <v/>
      </c>
      <c r="N577" s="2"/>
      <c r="O577" s="3"/>
      <c r="Q577"/>
      <c r="R577" s="3"/>
      <c r="S577" s="3"/>
      <c r="T577"/>
      <c r="U577"/>
      <c r="V577"/>
      <c r="W577"/>
      <c r="Z577"/>
      <c r="AA577"/>
      <c r="AD577"/>
    </row>
    <row r="578" spans="11:30" ht="18" customHeight="1">
      <c r="K578" t="str">
        <f>IF(OR($I578="Čaká na integráciu",$J578="Integrácia"),"ÁNO","")</f>
        <v/>
      </c>
      <c r="L578" t="str">
        <f>IF(OR($I578="Čaká na biznis",$J578="Biznis",$J578="Švédsky biznis"),"ÁNO","")</f>
        <v/>
      </c>
      <c r="N578" s="2"/>
      <c r="O578" s="3"/>
      <c r="Q578"/>
      <c r="R578" s="3"/>
      <c r="S578" s="3"/>
      <c r="T578"/>
      <c r="U578"/>
      <c r="V578"/>
      <c r="W578"/>
      <c r="Z578"/>
      <c r="AA578"/>
      <c r="AD578"/>
    </row>
    <row r="579" spans="11:30" ht="18" customHeight="1">
      <c r="K579" t="str">
        <f>IF(OR($I579="Čaká na integráciu",$J579="Integrácia"),"ÁNO","")</f>
        <v/>
      </c>
      <c r="L579" t="str">
        <f>IF(OR($I579="Čaká na biznis",$J579="Biznis",$J579="Švédsky biznis"),"ÁNO","")</f>
        <v/>
      </c>
      <c r="N579" s="2"/>
      <c r="O579" s="3"/>
      <c r="Q579"/>
      <c r="R579" s="3"/>
      <c r="S579" s="3"/>
      <c r="T579"/>
      <c r="U579"/>
      <c r="V579"/>
      <c r="W579"/>
      <c r="Z579"/>
      <c r="AA579"/>
      <c r="AD579"/>
    </row>
    <row r="580" spans="11:30" ht="18" customHeight="1">
      <c r="K580" t="str">
        <f>IF(OR($I580="Čaká na integráciu",$J580="Integrácia"),"ÁNO","")</f>
        <v/>
      </c>
      <c r="L580" t="str">
        <f>IF(OR($I580="Čaká na biznis",$J580="Biznis",$J580="Švédsky biznis"),"ÁNO","")</f>
        <v/>
      </c>
      <c r="N580" s="2"/>
      <c r="O580" s="3"/>
      <c r="Q580"/>
      <c r="R580" s="3"/>
      <c r="S580" s="3"/>
      <c r="T580"/>
      <c r="U580"/>
      <c r="V580"/>
      <c r="W580"/>
      <c r="Z580"/>
      <c r="AA580"/>
      <c r="AD580"/>
    </row>
    <row r="581" spans="11:30" ht="18" customHeight="1">
      <c r="K581" t="str">
        <f>IF(OR($I581="Čaká na integráciu",$J581="Integrácia"),"ÁNO","")</f>
        <v/>
      </c>
      <c r="L581" t="str">
        <f>IF(OR($I581="Čaká na biznis",$J581="Biznis",$J581="Švédsky biznis"),"ÁNO","")</f>
        <v/>
      </c>
      <c r="N581" s="2"/>
      <c r="O581" s="3"/>
      <c r="Q581"/>
      <c r="R581" s="3"/>
      <c r="S581" s="3"/>
      <c r="T581"/>
      <c r="U581"/>
      <c r="V581"/>
      <c r="W581"/>
      <c r="Z581"/>
      <c r="AA581"/>
      <c r="AD581"/>
    </row>
    <row r="582" spans="11:30" ht="18" customHeight="1">
      <c r="K582" t="str">
        <f>IF(OR($I582="Čaká na integráciu",$J582="Integrácia"),"ÁNO","")</f>
        <v/>
      </c>
      <c r="L582" t="str">
        <f>IF(OR($I582="Čaká na biznis",$J582="Biznis",$J582="Švédsky biznis"),"ÁNO","")</f>
        <v/>
      </c>
      <c r="N582" s="2"/>
      <c r="O582" s="3"/>
      <c r="Q582"/>
      <c r="R582" s="3"/>
      <c r="S582" s="3"/>
      <c r="T582"/>
      <c r="U582"/>
      <c r="V582"/>
      <c r="W582"/>
      <c r="Z582"/>
      <c r="AA582"/>
      <c r="AD582"/>
    </row>
    <row r="583" spans="11:30" ht="18" customHeight="1">
      <c r="K583" t="str">
        <f>IF(OR($I583="Čaká na integráciu",$J583="Integrácia"),"ÁNO","")</f>
        <v/>
      </c>
      <c r="L583" t="str">
        <f>IF(OR($I583="Čaká na biznis",$J583="Biznis",$J583="Švédsky biznis"),"ÁNO","")</f>
        <v/>
      </c>
      <c r="N583" s="2"/>
      <c r="O583" s="3"/>
      <c r="Q583"/>
      <c r="R583" s="3"/>
      <c r="S583" s="3"/>
      <c r="T583"/>
      <c r="U583"/>
      <c r="V583"/>
      <c r="W583"/>
      <c r="Z583"/>
      <c r="AA583"/>
      <c r="AD583"/>
    </row>
    <row r="584" spans="11:30" ht="18" customHeight="1">
      <c r="K584" t="str">
        <f>IF(OR($I584="Čaká na integráciu",$J584="Integrácia"),"ÁNO","")</f>
        <v/>
      </c>
      <c r="L584" t="str">
        <f>IF(OR($I584="Čaká na biznis",$J584="Biznis",$J584="Švédsky biznis"),"ÁNO","")</f>
        <v/>
      </c>
      <c r="N584" s="2"/>
      <c r="O584" s="3"/>
      <c r="Q584"/>
      <c r="R584" s="3"/>
      <c r="S584" s="3"/>
      <c r="T584"/>
      <c r="U584"/>
      <c r="V584"/>
      <c r="W584"/>
      <c r="Z584"/>
      <c r="AA584"/>
      <c r="AD584"/>
    </row>
    <row r="585" spans="11:30" ht="18" customHeight="1">
      <c r="K585" t="str">
        <f>IF(OR($I585="Čaká na integráciu",$J585="Integrácia"),"ÁNO","")</f>
        <v/>
      </c>
      <c r="L585" t="str">
        <f>IF(OR($I585="Čaká na biznis",$J585="Biznis",$J585="Švédsky biznis"),"ÁNO","")</f>
        <v/>
      </c>
      <c r="N585" s="2"/>
      <c r="O585" s="3"/>
      <c r="Q585"/>
      <c r="R585" s="3"/>
      <c r="S585" s="3"/>
      <c r="T585"/>
      <c r="U585"/>
      <c r="V585"/>
      <c r="W585"/>
      <c r="Z585"/>
      <c r="AA585"/>
      <c r="AD585"/>
    </row>
    <row r="586" spans="11:30" ht="18" customHeight="1">
      <c r="K586" t="str">
        <f>IF(OR($I586="Čaká na integráciu",$J586="Integrácia"),"ÁNO","")</f>
        <v/>
      </c>
      <c r="L586" t="str">
        <f>IF(OR($I586="Čaká na biznis",$J586="Biznis",$J586="Švédsky biznis"),"ÁNO","")</f>
        <v/>
      </c>
      <c r="N586" s="2"/>
      <c r="O586" s="3"/>
      <c r="Q586"/>
      <c r="R586" s="3"/>
      <c r="S586" s="3"/>
      <c r="T586"/>
      <c r="U586"/>
      <c r="V586"/>
      <c r="W586"/>
      <c r="Z586"/>
      <c r="AA586"/>
      <c r="AD586"/>
    </row>
    <row r="587" spans="11:30" ht="18" customHeight="1">
      <c r="K587" t="str">
        <f>IF(OR($I587="Čaká na integráciu",$J587="Integrácia"),"ÁNO","")</f>
        <v/>
      </c>
      <c r="L587" t="str">
        <f>IF(OR($I587="Čaká na biznis",$J587="Biznis",$J587="Švédsky biznis"),"ÁNO","")</f>
        <v/>
      </c>
      <c r="N587" s="2"/>
      <c r="O587" s="3"/>
      <c r="Q587"/>
      <c r="R587" s="3"/>
      <c r="S587" s="3"/>
      <c r="T587"/>
      <c r="U587"/>
      <c r="V587"/>
      <c r="W587"/>
      <c r="Z587"/>
      <c r="AA587"/>
      <c r="AD587"/>
    </row>
    <row r="588" spans="11:30" ht="18" customHeight="1">
      <c r="K588" t="str">
        <f>IF(OR($I588="Čaká na integráciu",$J588="Integrácia"),"ÁNO","")</f>
        <v/>
      </c>
      <c r="L588" t="str">
        <f>IF(OR($I588="Čaká na biznis",$J588="Biznis",$J588="Švédsky biznis"),"ÁNO","")</f>
        <v/>
      </c>
      <c r="N588" s="2"/>
      <c r="O588" s="3"/>
      <c r="Q588"/>
      <c r="R588" s="3"/>
      <c r="S588" s="3"/>
      <c r="T588"/>
      <c r="U588"/>
      <c r="V588"/>
      <c r="W588"/>
      <c r="Z588"/>
      <c r="AA588"/>
      <c r="AD588"/>
    </row>
    <row r="589" spans="11:30" ht="18" customHeight="1">
      <c r="K589" t="str">
        <f>IF(OR($I589="Čaká na integráciu",$J589="Integrácia"),"ÁNO","")</f>
        <v/>
      </c>
      <c r="L589" t="str">
        <f>IF(OR($I589="Čaká na biznis",$J589="Biznis",$J589="Švédsky biznis"),"ÁNO","")</f>
        <v/>
      </c>
      <c r="N589" s="2"/>
      <c r="O589" s="3"/>
      <c r="Q589"/>
      <c r="R589" s="3"/>
      <c r="S589" s="3"/>
      <c r="T589"/>
      <c r="U589"/>
      <c r="V589"/>
      <c r="W589"/>
      <c r="Z589"/>
      <c r="AA589"/>
      <c r="AD589"/>
    </row>
    <row r="590" spans="11:30" ht="18" customHeight="1">
      <c r="K590" t="str">
        <f>IF(OR($I590="Čaká na integráciu",$J590="Integrácia"),"ÁNO","")</f>
        <v/>
      </c>
      <c r="L590" t="str">
        <f>IF(OR($I590="Čaká na biznis",$J590="Biznis",$J590="Švédsky biznis"),"ÁNO","")</f>
        <v/>
      </c>
      <c r="N590" s="2"/>
      <c r="O590" s="3"/>
      <c r="Q590"/>
      <c r="R590" s="3"/>
      <c r="S590" s="3"/>
      <c r="T590"/>
      <c r="U590"/>
      <c r="V590"/>
      <c r="W590"/>
      <c r="Z590"/>
      <c r="AA590"/>
      <c r="AD590"/>
    </row>
    <row r="591" spans="11:30" ht="18" customHeight="1">
      <c r="K591" t="str">
        <f>IF(OR($I591="Čaká na integráciu",$J591="Integrácia"),"ÁNO","")</f>
        <v/>
      </c>
      <c r="L591" t="str">
        <f>IF(OR($I591="Čaká na biznis",$J591="Biznis",$J591="Švédsky biznis"),"ÁNO","")</f>
        <v/>
      </c>
      <c r="N591" s="2"/>
      <c r="O591" s="3"/>
      <c r="Q591"/>
      <c r="R591" s="3"/>
      <c r="S591" s="3"/>
      <c r="T591"/>
      <c r="U591"/>
      <c r="V591"/>
      <c r="W591"/>
      <c r="Z591"/>
      <c r="AA591"/>
      <c r="AD591"/>
    </row>
    <row r="592" spans="11:30" ht="18" customHeight="1">
      <c r="K592" t="str">
        <f>IF(OR($I592="Čaká na integráciu",$J592="Integrácia"),"ÁNO","")</f>
        <v/>
      </c>
      <c r="L592" t="str">
        <f>IF(OR($I592="Čaká na biznis",$J592="Biznis",$J592="Švédsky biznis"),"ÁNO","")</f>
        <v/>
      </c>
      <c r="N592" s="2"/>
      <c r="O592" s="3"/>
      <c r="Q592"/>
      <c r="R592" s="3"/>
      <c r="S592" s="3"/>
      <c r="T592"/>
      <c r="U592"/>
      <c r="V592"/>
      <c r="W592"/>
      <c r="Z592"/>
      <c r="AA592"/>
      <c r="AD592"/>
    </row>
    <row r="593" spans="11:30" ht="18" customHeight="1">
      <c r="K593" t="str">
        <f>IF(OR($I593="Čaká na integráciu",$J593="Integrácia"),"ÁNO","")</f>
        <v/>
      </c>
      <c r="L593" t="str">
        <f>IF(OR($I593="Čaká na biznis",$J593="Biznis",$J593="Švédsky biznis"),"ÁNO","")</f>
        <v/>
      </c>
      <c r="N593" s="2"/>
      <c r="O593" s="3"/>
      <c r="Q593"/>
      <c r="R593" s="3"/>
      <c r="S593" s="3"/>
      <c r="T593"/>
      <c r="U593"/>
      <c r="V593"/>
      <c r="W593"/>
      <c r="Z593"/>
      <c r="AA593"/>
      <c r="AD593"/>
    </row>
    <row r="594" spans="11:30" ht="18" customHeight="1">
      <c r="K594" t="str">
        <f>IF(OR($I594="Čaká na integráciu",$J594="Integrácia"),"ÁNO","")</f>
        <v/>
      </c>
      <c r="L594" t="str">
        <f>IF(OR($I594="Čaká na biznis",$J594="Biznis",$J594="Švédsky biznis"),"ÁNO","")</f>
        <v/>
      </c>
      <c r="N594" s="2"/>
      <c r="O594" s="3"/>
      <c r="Q594"/>
      <c r="R594" s="3"/>
      <c r="S594" s="3"/>
      <c r="T594"/>
      <c r="U594"/>
      <c r="V594"/>
      <c r="W594"/>
      <c r="Z594"/>
      <c r="AA594"/>
      <c r="AD594"/>
    </row>
    <row r="595" spans="11:30" ht="18" customHeight="1">
      <c r="K595" t="str">
        <f>IF(OR($I595="Čaká na integráciu",$J595="Integrácia"),"ÁNO","")</f>
        <v/>
      </c>
      <c r="L595" t="str">
        <f>IF(OR($I595="Čaká na biznis",$J595="Biznis",$J595="Švédsky biznis"),"ÁNO","")</f>
        <v/>
      </c>
      <c r="N595" s="2"/>
      <c r="O595" s="3"/>
      <c r="Q595"/>
      <c r="R595" s="3"/>
      <c r="S595" s="3"/>
      <c r="T595"/>
      <c r="U595"/>
      <c r="V595"/>
      <c r="W595"/>
      <c r="Z595"/>
      <c r="AA595"/>
      <c r="AD595"/>
    </row>
    <row r="596" spans="11:30" ht="18" customHeight="1">
      <c r="K596" t="str">
        <f>IF(OR($I596="Čaká na integráciu",$J596="Integrácia"),"ÁNO","")</f>
        <v/>
      </c>
      <c r="L596" t="str">
        <f>IF(OR($I596="Čaká na biznis",$J596="Biznis",$J596="Švédsky biznis"),"ÁNO","")</f>
        <v/>
      </c>
      <c r="N596" s="2"/>
      <c r="O596" s="3"/>
      <c r="Q596"/>
      <c r="R596" s="3"/>
      <c r="S596" s="3"/>
      <c r="T596"/>
      <c r="U596"/>
      <c r="V596"/>
      <c r="W596"/>
      <c r="Z596"/>
      <c r="AA596"/>
      <c r="AD596"/>
    </row>
    <row r="597" spans="11:30" ht="18" customHeight="1">
      <c r="K597" t="str">
        <f>IF(OR($I597="Čaká na integráciu",$J597="Integrácia"),"ÁNO","")</f>
        <v/>
      </c>
      <c r="L597" t="str">
        <f>IF(OR($I597="Čaká na biznis",$J597="Biznis",$J597="Švédsky biznis"),"ÁNO","")</f>
        <v/>
      </c>
      <c r="N597" s="2"/>
      <c r="O597" s="3"/>
      <c r="Q597"/>
      <c r="R597" s="3"/>
      <c r="S597" s="3"/>
      <c r="T597"/>
      <c r="U597"/>
      <c r="V597"/>
      <c r="W597"/>
      <c r="Z597"/>
      <c r="AA597"/>
      <c r="AD597"/>
    </row>
    <row r="598" spans="11:30" ht="18" customHeight="1">
      <c r="K598" t="str">
        <f>IF(OR($I598="Čaká na integráciu",$J598="Integrácia"),"ÁNO","")</f>
        <v/>
      </c>
      <c r="L598" t="str">
        <f>IF(OR($I598="Čaká na biznis",$J598="Biznis",$J598="Švédsky biznis"),"ÁNO","")</f>
        <v/>
      </c>
      <c r="N598" s="2"/>
      <c r="O598" s="3"/>
      <c r="Q598"/>
      <c r="R598" s="3"/>
      <c r="S598" s="3"/>
      <c r="T598"/>
      <c r="U598"/>
      <c r="V598"/>
      <c r="W598"/>
      <c r="Z598"/>
      <c r="AA598"/>
      <c r="AD598"/>
    </row>
    <row r="599" spans="11:30" ht="18" customHeight="1">
      <c r="K599" t="str">
        <f>IF(OR($I599="Čaká na integráciu",$J599="Integrácia"),"ÁNO","")</f>
        <v/>
      </c>
      <c r="L599" t="str">
        <f>IF(OR($I599="Čaká na biznis",$J599="Biznis",$J599="Švédsky biznis"),"ÁNO","")</f>
        <v/>
      </c>
      <c r="N599" s="2"/>
      <c r="O599" s="3"/>
      <c r="Q599"/>
      <c r="R599" s="3"/>
      <c r="S599" s="3"/>
      <c r="T599"/>
      <c r="U599"/>
      <c r="V599"/>
      <c r="W599"/>
      <c r="Z599"/>
      <c r="AA599"/>
      <c r="AD599"/>
    </row>
    <row r="600" spans="11:30" ht="18" customHeight="1">
      <c r="K600" t="str">
        <f>IF(OR($I600="Čaká na integráciu",$J600="Integrácia"),"ÁNO","")</f>
        <v/>
      </c>
      <c r="L600" t="str">
        <f>IF(OR($I600="Čaká na biznis",$J600="Biznis",$J600="Švédsky biznis"),"ÁNO","")</f>
        <v/>
      </c>
      <c r="N600" s="2"/>
      <c r="O600" s="3"/>
      <c r="Q600"/>
      <c r="R600" s="3"/>
      <c r="S600" s="3"/>
      <c r="T600"/>
      <c r="U600"/>
      <c r="V600"/>
      <c r="W600"/>
      <c r="Z600"/>
      <c r="AA600"/>
      <c r="AD600"/>
    </row>
    <row r="601" spans="11:30" ht="18" customHeight="1">
      <c r="K601" t="str">
        <f>IF(OR($I601="Čaká na integráciu",$J601="Integrácia"),"ÁNO","")</f>
        <v/>
      </c>
      <c r="L601" t="str">
        <f>IF(OR($I601="Čaká na biznis",$J601="Biznis",$J601="Švédsky biznis"),"ÁNO","")</f>
        <v/>
      </c>
      <c r="N601" s="2"/>
      <c r="O601" s="3"/>
      <c r="Q601"/>
      <c r="R601" s="3"/>
      <c r="S601" s="3"/>
      <c r="T601"/>
      <c r="U601"/>
      <c r="V601"/>
      <c r="W601"/>
      <c r="Z601"/>
      <c r="AA601"/>
      <c r="AD601"/>
    </row>
    <row r="602" spans="11:30" ht="18" customHeight="1">
      <c r="K602" t="str">
        <f>IF(OR($I602="Čaká na integráciu",$J602="Integrácia"),"ÁNO","")</f>
        <v/>
      </c>
      <c r="L602" t="str">
        <f>IF(OR($I602="Čaká na biznis",$J602="Biznis",$J602="Švédsky biznis"),"ÁNO","")</f>
        <v/>
      </c>
      <c r="N602" s="2"/>
      <c r="O602" s="3"/>
      <c r="Q602"/>
      <c r="R602" s="3"/>
      <c r="S602" s="3"/>
      <c r="T602"/>
      <c r="U602"/>
      <c r="V602"/>
      <c r="W602"/>
      <c r="Z602"/>
      <c r="AA602"/>
      <c r="AD602"/>
    </row>
    <row r="603" spans="11:30" ht="18" customHeight="1">
      <c r="K603" t="str">
        <f>IF(OR($I603="Čaká na integráciu",$J603="Integrácia"),"ÁNO","")</f>
        <v/>
      </c>
      <c r="L603" t="str">
        <f>IF(OR($I603="Čaká na biznis",$J603="Biznis",$J603="Švédsky biznis"),"ÁNO","")</f>
        <v/>
      </c>
      <c r="N603" s="2"/>
      <c r="O603" s="3"/>
      <c r="Q603"/>
      <c r="R603" s="3"/>
      <c r="S603" s="3"/>
      <c r="T603"/>
      <c r="U603"/>
      <c r="V603"/>
      <c r="W603"/>
      <c r="Z603"/>
      <c r="AA603"/>
      <c r="AD603"/>
    </row>
    <row r="604" spans="11:30" ht="18" customHeight="1">
      <c r="K604" t="str">
        <f>IF(OR($I604="Čaká na integráciu",$J604="Integrácia"),"ÁNO","")</f>
        <v/>
      </c>
      <c r="L604" t="str">
        <f>IF(OR($I604="Čaká na biznis",$J604="Biznis",$J604="Švédsky biznis"),"ÁNO","")</f>
        <v/>
      </c>
      <c r="N604" s="2"/>
      <c r="O604" s="3"/>
      <c r="Q604"/>
      <c r="R604" s="3"/>
      <c r="S604" s="3"/>
      <c r="T604"/>
      <c r="U604"/>
      <c r="V604"/>
      <c r="W604"/>
      <c r="Z604"/>
      <c r="AA604"/>
      <c r="AD604"/>
    </row>
    <row r="605" spans="11:30" ht="18" customHeight="1">
      <c r="K605" t="str">
        <f>IF(OR($I605="Čaká na integráciu",$J605="Integrácia"),"ÁNO","")</f>
        <v/>
      </c>
      <c r="L605" t="str">
        <f>IF(OR($I605="Čaká na biznis",$J605="Biznis",$J605="Švédsky biznis"),"ÁNO","")</f>
        <v/>
      </c>
      <c r="N605" s="2"/>
      <c r="O605" s="3"/>
      <c r="Q605"/>
      <c r="R605" s="3"/>
      <c r="S605" s="3"/>
      <c r="T605"/>
      <c r="U605"/>
      <c r="V605"/>
      <c r="W605"/>
      <c r="Z605"/>
      <c r="AA605"/>
      <c r="AD605"/>
    </row>
    <row r="606" spans="11:30" ht="18" customHeight="1">
      <c r="K606" t="str">
        <f>IF(OR($I606="Čaká na integráciu",$J606="Integrácia"),"ÁNO","")</f>
        <v/>
      </c>
      <c r="L606" t="str">
        <f>IF(OR($I606="Čaká na biznis",$J606="Biznis",$J606="Švédsky biznis"),"ÁNO","")</f>
        <v/>
      </c>
      <c r="N606" s="2"/>
      <c r="O606" s="3"/>
      <c r="Q606"/>
      <c r="R606" s="3"/>
      <c r="S606" s="3"/>
      <c r="T606"/>
      <c r="U606"/>
      <c r="V606"/>
      <c r="W606"/>
      <c r="Z606"/>
      <c r="AA606"/>
      <c r="AD606"/>
    </row>
    <row r="607" spans="11:30" ht="18" customHeight="1">
      <c r="K607" t="str">
        <f>IF(OR($I607="Čaká na integráciu",$J607="Integrácia"),"ÁNO","")</f>
        <v/>
      </c>
      <c r="L607" t="str">
        <f>IF(OR($I607="Čaká na biznis",$J607="Biznis",$J607="Švédsky biznis"),"ÁNO","")</f>
        <v/>
      </c>
      <c r="N607" s="2"/>
      <c r="O607" s="3"/>
      <c r="Q607"/>
      <c r="R607" s="3"/>
      <c r="S607" s="3"/>
      <c r="T607"/>
      <c r="U607"/>
      <c r="V607"/>
      <c r="W607"/>
      <c r="Z607"/>
      <c r="AA607"/>
      <c r="AD607"/>
    </row>
    <row r="608" spans="11:30" ht="18" customHeight="1">
      <c r="K608" t="str">
        <f>IF(OR($I608="Čaká na integráciu",$J608="Integrácia"),"ÁNO","")</f>
        <v/>
      </c>
      <c r="L608" t="str">
        <f>IF(OR($I608="Čaká na biznis",$J608="Biznis",$J608="Švédsky biznis"),"ÁNO","")</f>
        <v/>
      </c>
      <c r="N608" s="2"/>
      <c r="O608" s="3"/>
      <c r="Q608"/>
      <c r="R608" s="3"/>
      <c r="S608" s="3"/>
      <c r="T608"/>
      <c r="U608"/>
      <c r="V608"/>
      <c r="W608"/>
      <c r="Z608"/>
      <c r="AA608"/>
      <c r="AD608"/>
    </row>
    <row r="609" spans="11:30" ht="18" customHeight="1">
      <c r="K609" t="str">
        <f>IF(OR($I609="Čaká na integráciu",$J609="Integrácia"),"ÁNO","")</f>
        <v/>
      </c>
      <c r="L609" t="str">
        <f>IF(OR($I609="Čaká na biznis",$J609="Biznis",$J609="Švédsky biznis"),"ÁNO","")</f>
        <v/>
      </c>
      <c r="N609" s="2"/>
      <c r="O609" s="3"/>
      <c r="Q609"/>
      <c r="R609" s="3"/>
      <c r="S609" s="3"/>
      <c r="T609"/>
      <c r="U609"/>
      <c r="V609"/>
      <c r="W609"/>
      <c r="Z609"/>
      <c r="AA609"/>
      <c r="AD609"/>
    </row>
    <row r="610" spans="11:30" ht="18" customHeight="1">
      <c r="K610" t="str">
        <f>IF(OR($I610="Čaká na integráciu",$J610="Integrácia"),"ÁNO","")</f>
        <v/>
      </c>
      <c r="L610" t="str">
        <f>IF(OR($I610="Čaká na biznis",$J610="Biznis",$J610="Švédsky biznis"),"ÁNO","")</f>
        <v/>
      </c>
      <c r="N610" s="2"/>
      <c r="O610" s="3"/>
      <c r="Q610"/>
      <c r="R610" s="3"/>
      <c r="S610" s="3"/>
      <c r="T610"/>
      <c r="U610"/>
      <c r="V610"/>
      <c r="W610"/>
      <c r="Z610"/>
      <c r="AA610"/>
      <c r="AD610"/>
    </row>
    <row r="611" spans="11:30" ht="18" customHeight="1">
      <c r="K611" t="str">
        <f>IF(OR($I611="Čaká na integráciu",$J611="Integrácia"),"ÁNO","")</f>
        <v/>
      </c>
      <c r="L611" t="str">
        <f>IF(OR($I611="Čaká na biznis",$J611="Biznis",$J611="Švédsky biznis"),"ÁNO","")</f>
        <v/>
      </c>
      <c r="N611" s="2"/>
      <c r="O611" s="3"/>
      <c r="Q611"/>
      <c r="R611" s="3"/>
      <c r="S611" s="3"/>
      <c r="T611"/>
      <c r="U611"/>
      <c r="V611"/>
      <c r="W611"/>
      <c r="Z611"/>
      <c r="AA611"/>
      <c r="AD611"/>
    </row>
    <row r="612" spans="11:30" ht="18" customHeight="1">
      <c r="K612" t="str">
        <f>IF(OR($I612="Čaká na integráciu",$J612="Integrácia"),"ÁNO","")</f>
        <v/>
      </c>
      <c r="L612" t="str">
        <f>IF(OR($I612="Čaká na biznis",$J612="Biznis",$J612="Švédsky biznis"),"ÁNO","")</f>
        <v/>
      </c>
      <c r="N612" s="2"/>
      <c r="O612" s="3"/>
      <c r="Q612"/>
      <c r="R612" s="3"/>
      <c r="S612" s="3"/>
      <c r="T612"/>
      <c r="U612"/>
      <c r="V612"/>
      <c r="W612"/>
      <c r="Z612"/>
      <c r="AA612"/>
      <c r="AD612"/>
    </row>
    <row r="613" spans="11:30" ht="18" customHeight="1">
      <c r="K613" t="str">
        <f>IF(OR($I613="Čaká na integráciu",$J613="Integrácia"),"ÁNO","")</f>
        <v/>
      </c>
      <c r="L613" t="str">
        <f>IF(OR($I613="Čaká na biznis",$J613="Biznis",$J613="Švédsky biznis"),"ÁNO","")</f>
        <v/>
      </c>
      <c r="N613" s="2"/>
      <c r="O613" s="3"/>
      <c r="Q613"/>
      <c r="R613" s="3"/>
      <c r="S613" s="3"/>
      <c r="T613"/>
      <c r="U613"/>
      <c r="V613"/>
      <c r="W613"/>
      <c r="Z613"/>
      <c r="AA613"/>
      <c r="AD613"/>
    </row>
    <row r="614" spans="11:30" ht="18" customHeight="1">
      <c r="K614" t="str">
        <f>IF(OR($I614="Čaká na integráciu",$J614="Integrácia"),"ÁNO","")</f>
        <v/>
      </c>
      <c r="L614" t="str">
        <f>IF(OR($I614="Čaká na biznis",$J614="Biznis",$J614="Švédsky biznis"),"ÁNO","")</f>
        <v/>
      </c>
      <c r="N614" s="2"/>
      <c r="O614" s="3"/>
      <c r="Q614"/>
      <c r="R614" s="3"/>
      <c r="S614" s="3"/>
      <c r="T614"/>
      <c r="U614"/>
      <c r="V614"/>
      <c r="W614"/>
      <c r="Z614"/>
      <c r="AA614"/>
      <c r="AD614"/>
    </row>
    <row r="615" spans="11:30" ht="18" customHeight="1">
      <c r="K615" t="str">
        <f>IF(OR($I615="Čaká na integráciu",$J615="Integrácia"),"ÁNO","")</f>
        <v/>
      </c>
      <c r="L615" t="str">
        <f>IF(OR($I615="Čaká na biznis",$J615="Biznis",$J615="Švédsky biznis"),"ÁNO","")</f>
        <v/>
      </c>
      <c r="N615" s="2"/>
      <c r="O615" s="3"/>
      <c r="Q615"/>
      <c r="R615" s="3"/>
      <c r="S615" s="3"/>
      <c r="T615"/>
      <c r="U615"/>
      <c r="V615"/>
      <c r="W615"/>
      <c r="Z615"/>
      <c r="AA615"/>
      <c r="AD615"/>
    </row>
    <row r="616" spans="11:30" ht="18" customHeight="1">
      <c r="K616" t="str">
        <f>IF(OR($I616="Čaká na integráciu",$J616="Integrácia"),"ÁNO","")</f>
        <v/>
      </c>
      <c r="L616" t="str">
        <f>IF(OR($I616="Čaká na biznis",$J616="Biznis",$J616="Švédsky biznis"),"ÁNO","")</f>
        <v/>
      </c>
      <c r="N616" s="2"/>
      <c r="O616" s="3"/>
      <c r="Q616"/>
      <c r="R616" s="3"/>
      <c r="S616" s="3"/>
      <c r="T616"/>
      <c r="U616"/>
      <c r="V616"/>
      <c r="W616"/>
      <c r="Z616"/>
      <c r="AA616"/>
      <c r="AD616"/>
    </row>
    <row r="617" spans="11:30" ht="18" customHeight="1">
      <c r="K617" t="str">
        <f>IF(OR($I617="Čaká na integráciu",$J617="Integrácia"),"ÁNO","")</f>
        <v/>
      </c>
      <c r="L617" t="str">
        <f>IF(OR($I617="Čaká na biznis",$J617="Biznis",$J617="Švédsky biznis"),"ÁNO","")</f>
        <v/>
      </c>
      <c r="N617" s="2"/>
      <c r="O617" s="3"/>
      <c r="Q617"/>
      <c r="R617" s="3"/>
      <c r="S617" s="3"/>
      <c r="T617"/>
      <c r="U617"/>
      <c r="V617"/>
      <c r="W617"/>
      <c r="Z617"/>
      <c r="AA617"/>
      <c r="AD617"/>
    </row>
    <row r="618" spans="11:30" ht="18" customHeight="1">
      <c r="K618" t="str">
        <f>IF(OR($I618="Čaká na integráciu",$J618="Integrácia"),"ÁNO","")</f>
        <v/>
      </c>
      <c r="L618" t="str">
        <f>IF(OR($I618="Čaká na biznis",$J618="Biznis",$J618="Švédsky biznis"),"ÁNO","")</f>
        <v/>
      </c>
      <c r="N618" s="2"/>
      <c r="O618" s="3"/>
      <c r="Q618"/>
      <c r="R618" s="3"/>
      <c r="S618" s="3"/>
      <c r="T618"/>
      <c r="U618"/>
      <c r="V618"/>
      <c r="W618"/>
      <c r="Z618"/>
      <c r="AA618"/>
      <c r="AD618"/>
    </row>
    <row r="619" spans="11:30" ht="18" customHeight="1">
      <c r="K619" t="str">
        <f>IF(OR($I619="Čaká na integráciu",$J619="Integrácia"),"ÁNO","")</f>
        <v/>
      </c>
      <c r="L619" t="str">
        <f>IF(OR($I619="Čaká na biznis",$J619="Biznis",$J619="Švédsky biznis"),"ÁNO","")</f>
        <v/>
      </c>
      <c r="N619" s="2"/>
      <c r="O619" s="3"/>
      <c r="Q619"/>
      <c r="R619" s="3"/>
      <c r="S619" s="3"/>
      <c r="T619"/>
      <c r="U619"/>
      <c r="V619"/>
      <c r="W619"/>
      <c r="Z619"/>
      <c r="AA619"/>
      <c r="AD619"/>
    </row>
    <row r="620" spans="11:30" ht="18" customHeight="1">
      <c r="K620" t="str">
        <f>IF(OR($I620="Čaká na integráciu",$J620="Integrácia"),"ÁNO","")</f>
        <v/>
      </c>
      <c r="L620" t="str">
        <f>IF(OR($I620="Čaká na biznis",$J620="Biznis",$J620="Švédsky biznis"),"ÁNO","")</f>
        <v/>
      </c>
      <c r="N620" s="2"/>
      <c r="O620" s="3"/>
      <c r="Q620"/>
      <c r="R620" s="3"/>
      <c r="S620" s="3"/>
      <c r="T620"/>
      <c r="U620"/>
      <c r="V620"/>
      <c r="W620"/>
      <c r="Z620"/>
      <c r="AA620"/>
      <c r="AD620"/>
    </row>
    <row r="621" spans="11:30" ht="18" customHeight="1">
      <c r="K621" t="str">
        <f>IF(OR($I621="Čaká na integráciu",$J621="Integrácia"),"ÁNO","")</f>
        <v/>
      </c>
      <c r="L621" t="str">
        <f>IF(OR($I621="Čaká na biznis",$J621="Biznis",$J621="Švédsky biznis"),"ÁNO","")</f>
        <v/>
      </c>
      <c r="N621" s="2"/>
      <c r="O621" s="3"/>
      <c r="Q621"/>
      <c r="R621" s="3"/>
      <c r="S621" s="3"/>
      <c r="T621"/>
      <c r="U621"/>
      <c r="V621"/>
      <c r="W621"/>
      <c r="Z621"/>
      <c r="AA621"/>
      <c r="AD621"/>
    </row>
    <row r="622" spans="11:30" ht="18" customHeight="1">
      <c r="K622" t="str">
        <f>IF(OR($I622="Čaká na integráciu",$J622="Integrácia"),"ÁNO","")</f>
        <v/>
      </c>
      <c r="L622" t="str">
        <f>IF(OR($I622="Čaká na biznis",$J622="Biznis",$J622="Švédsky biznis"),"ÁNO","")</f>
        <v/>
      </c>
      <c r="N622" s="2"/>
      <c r="O622" s="3"/>
      <c r="Q622"/>
      <c r="R622" s="3"/>
      <c r="S622" s="3"/>
      <c r="T622"/>
      <c r="U622"/>
      <c r="V622"/>
      <c r="W622"/>
      <c r="Z622"/>
      <c r="AA622"/>
      <c r="AD622"/>
    </row>
    <row r="623" spans="11:30" ht="18" customHeight="1">
      <c r="K623" t="str">
        <f>IF(OR($I623="Čaká na integráciu",$J623="Integrácia"),"ÁNO","")</f>
        <v/>
      </c>
      <c r="L623" t="str">
        <f>IF(OR($I623="Čaká na biznis",$J623="Biznis",$J623="Švédsky biznis"),"ÁNO","")</f>
        <v/>
      </c>
      <c r="N623" s="2"/>
      <c r="O623" s="3"/>
      <c r="Q623"/>
      <c r="R623" s="3"/>
      <c r="S623" s="3"/>
      <c r="T623"/>
      <c r="U623"/>
      <c r="V623"/>
      <c r="W623"/>
      <c r="Z623"/>
      <c r="AA623"/>
      <c r="AD623"/>
    </row>
    <row r="624" spans="11:30" ht="18" customHeight="1">
      <c r="K624" t="str">
        <f>IF(OR($I624="Čaká na integráciu",$J624="Integrácia"),"ÁNO","")</f>
        <v/>
      </c>
      <c r="L624" t="str">
        <f>IF(OR($I624="Čaká na biznis",$J624="Biznis",$J624="Švédsky biznis"),"ÁNO","")</f>
        <v/>
      </c>
      <c r="N624" s="2"/>
      <c r="O624" s="3"/>
      <c r="Q624"/>
      <c r="R624" s="3"/>
      <c r="S624" s="3"/>
      <c r="T624"/>
      <c r="U624"/>
      <c r="V624"/>
      <c r="W624"/>
      <c r="Z624"/>
      <c r="AA624"/>
      <c r="AD624"/>
    </row>
    <row r="625" spans="11:30" ht="18" customHeight="1">
      <c r="K625" t="str">
        <f>IF(OR($I625="Čaká na integráciu",$J625="Integrácia"),"ÁNO","")</f>
        <v/>
      </c>
      <c r="L625" t="str">
        <f>IF(OR($I625="Čaká na biznis",$J625="Biznis",$J625="Švédsky biznis"),"ÁNO","")</f>
        <v/>
      </c>
      <c r="N625" s="2"/>
      <c r="O625" s="3"/>
      <c r="Q625"/>
      <c r="R625" s="3"/>
      <c r="S625" s="3"/>
      <c r="T625"/>
      <c r="U625"/>
      <c r="V625"/>
      <c r="W625"/>
      <c r="Z625"/>
      <c r="AA625"/>
      <c r="AD625"/>
    </row>
    <row r="626" spans="11:30" ht="18" customHeight="1">
      <c r="K626" t="str">
        <f>IF(OR($I626="Čaká na integráciu",$J626="Integrácia"),"ÁNO","")</f>
        <v/>
      </c>
      <c r="L626" t="str">
        <f>IF(OR($I626="Čaká na biznis",$J626="Biznis",$J626="Švédsky biznis"),"ÁNO","")</f>
        <v/>
      </c>
      <c r="N626" s="2"/>
      <c r="O626" s="3"/>
      <c r="Q626"/>
      <c r="R626" s="3"/>
      <c r="S626" s="3"/>
      <c r="T626"/>
      <c r="U626"/>
      <c r="V626"/>
      <c r="W626"/>
      <c r="Z626"/>
      <c r="AA626"/>
      <c r="AD626"/>
    </row>
    <row r="627" spans="11:30" ht="18" customHeight="1">
      <c r="K627" t="str">
        <f>IF(OR($I627="Čaká na integráciu",$J627="Integrácia"),"ÁNO","")</f>
        <v/>
      </c>
      <c r="L627" t="str">
        <f>IF(OR($I627="Čaká na biznis",$J627="Biznis",$J627="Švédsky biznis"),"ÁNO","")</f>
        <v/>
      </c>
      <c r="N627" s="2"/>
      <c r="O627" s="3"/>
      <c r="Q627"/>
      <c r="R627" s="3"/>
      <c r="S627" s="3"/>
      <c r="T627"/>
      <c r="U627"/>
      <c r="V627"/>
      <c r="W627"/>
      <c r="Z627"/>
      <c r="AA627"/>
      <c r="AD627"/>
    </row>
    <row r="628" spans="11:30" ht="18" customHeight="1">
      <c r="K628" t="str">
        <f>IF(OR($I628="Čaká na integráciu",$J628="Integrácia"),"ÁNO","")</f>
        <v/>
      </c>
      <c r="L628" t="str">
        <f>IF(OR($I628="Čaká na biznis",$J628="Biznis",$J628="Švédsky biznis"),"ÁNO","")</f>
        <v/>
      </c>
      <c r="N628" s="2"/>
      <c r="O628" s="3"/>
      <c r="Q628"/>
      <c r="R628" s="3"/>
      <c r="S628" s="3"/>
      <c r="T628"/>
      <c r="U628"/>
      <c r="V628"/>
      <c r="W628"/>
      <c r="Z628"/>
      <c r="AA628"/>
      <c r="AD628"/>
    </row>
    <row r="629" spans="11:30" ht="18" customHeight="1">
      <c r="K629" t="str">
        <f>IF(OR($I629="Čaká na integráciu",$J629="Integrácia"),"ÁNO","")</f>
        <v/>
      </c>
      <c r="L629" t="str">
        <f>IF(OR($I629="Čaká na biznis",$J629="Biznis",$J629="Švédsky biznis"),"ÁNO","")</f>
        <v/>
      </c>
      <c r="N629" s="2"/>
      <c r="O629" s="3"/>
      <c r="Q629"/>
      <c r="R629" s="3"/>
      <c r="S629" s="3"/>
      <c r="T629"/>
      <c r="U629"/>
      <c r="V629"/>
      <c r="W629"/>
      <c r="Z629"/>
      <c r="AA629"/>
      <c r="AD629"/>
    </row>
    <row r="630" spans="11:30" ht="18" customHeight="1">
      <c r="K630" t="str">
        <f>IF(OR($I630="Čaká na integráciu",$J630="Integrácia"),"ÁNO","")</f>
        <v/>
      </c>
      <c r="L630" t="str">
        <f>IF(OR($I630="Čaká na biznis",$J630="Biznis",$J630="Švédsky biznis"),"ÁNO","")</f>
        <v/>
      </c>
      <c r="N630" s="2"/>
      <c r="O630" s="3"/>
      <c r="Q630"/>
      <c r="R630" s="3"/>
      <c r="S630" s="3"/>
      <c r="T630"/>
      <c r="U630"/>
      <c r="V630"/>
      <c r="W630"/>
      <c r="Z630"/>
      <c r="AA630"/>
      <c r="AD630"/>
    </row>
    <row r="631" spans="11:30" ht="18" customHeight="1">
      <c r="K631" t="str">
        <f>IF(OR($I631="Čaká na integráciu",$J631="Integrácia"),"ÁNO","")</f>
        <v/>
      </c>
      <c r="L631" t="str">
        <f>IF(OR($I631="Čaká na biznis",$J631="Biznis",$J631="Švédsky biznis"),"ÁNO","")</f>
        <v/>
      </c>
      <c r="N631" s="2"/>
      <c r="O631" s="3"/>
      <c r="Q631"/>
      <c r="R631" s="3"/>
      <c r="S631" s="3"/>
      <c r="T631"/>
      <c r="U631"/>
      <c r="V631"/>
      <c r="W631"/>
      <c r="Z631"/>
      <c r="AA631"/>
      <c r="AD631"/>
    </row>
    <row r="632" spans="11:30" ht="18" customHeight="1">
      <c r="K632" t="str">
        <f>IF(OR($I632="Čaká na integráciu",$J632="Integrácia"),"ÁNO","")</f>
        <v/>
      </c>
      <c r="L632" t="str">
        <f>IF(OR($I632="Čaká na biznis",$J632="Biznis",$J632="Švédsky biznis"),"ÁNO","")</f>
        <v/>
      </c>
      <c r="N632" s="2"/>
      <c r="O632" s="3"/>
      <c r="Q632"/>
      <c r="R632" s="3"/>
      <c r="S632" s="3"/>
      <c r="T632"/>
      <c r="U632"/>
      <c r="V632"/>
      <c r="W632"/>
      <c r="Z632"/>
      <c r="AA632"/>
      <c r="AD632"/>
    </row>
    <row r="633" spans="11:30" ht="18" customHeight="1">
      <c r="K633" t="str">
        <f>IF(OR($I633="Čaká na integráciu",$J633="Integrácia"),"ÁNO","")</f>
        <v/>
      </c>
      <c r="L633" t="str">
        <f>IF(OR($I633="Čaká na biznis",$J633="Biznis",$J633="Švédsky biznis"),"ÁNO","")</f>
        <v/>
      </c>
      <c r="N633" s="2"/>
      <c r="O633" s="3"/>
      <c r="Q633"/>
      <c r="R633" s="3"/>
      <c r="S633" s="3"/>
      <c r="T633"/>
      <c r="U633"/>
      <c r="V633"/>
      <c r="W633"/>
      <c r="Z633"/>
      <c r="AA633"/>
      <c r="AD633"/>
    </row>
    <row r="634" spans="11:30" ht="18" customHeight="1">
      <c r="K634" t="str">
        <f>IF(OR($I634="Čaká na integráciu",$J634="Integrácia"),"ÁNO","")</f>
        <v/>
      </c>
      <c r="L634" t="str">
        <f>IF(OR($I634="Čaká na biznis",$J634="Biznis",$J634="Švédsky biznis"),"ÁNO","")</f>
        <v/>
      </c>
      <c r="N634" s="2"/>
      <c r="O634" s="3"/>
      <c r="Q634"/>
      <c r="R634" s="3"/>
      <c r="S634" s="3"/>
      <c r="T634"/>
      <c r="U634"/>
      <c r="V634"/>
      <c r="W634"/>
      <c r="Z634"/>
      <c r="AA634"/>
      <c r="AD634"/>
    </row>
    <row r="635" spans="11:30" ht="18" customHeight="1">
      <c r="K635" t="str">
        <f>IF(OR($I635="Čaká na integráciu",$J635="Integrácia"),"ÁNO","")</f>
        <v/>
      </c>
      <c r="L635" t="str">
        <f>IF(OR($I635="Čaká na biznis",$J635="Biznis",$J635="Švédsky biznis"),"ÁNO","")</f>
        <v/>
      </c>
      <c r="N635" s="2"/>
      <c r="O635" s="3"/>
      <c r="Q635"/>
      <c r="R635" s="3"/>
      <c r="S635" s="3"/>
      <c r="T635"/>
      <c r="U635"/>
      <c r="V635"/>
      <c r="W635"/>
      <c r="Z635"/>
      <c r="AA635"/>
      <c r="AD635"/>
    </row>
    <row r="636" spans="11:30" ht="18" customHeight="1">
      <c r="K636" t="str">
        <f>IF(OR($I636="Čaká na integráciu",$J636="Integrácia"),"ÁNO","")</f>
        <v/>
      </c>
      <c r="L636" t="str">
        <f>IF(OR($I636="Čaká na biznis",$J636="Biznis",$J636="Švédsky biznis"),"ÁNO","")</f>
        <v/>
      </c>
      <c r="N636" s="2"/>
      <c r="O636" s="3"/>
      <c r="Q636"/>
      <c r="R636" s="3"/>
      <c r="S636" s="3"/>
      <c r="T636"/>
      <c r="U636"/>
      <c r="V636"/>
      <c r="W636"/>
      <c r="Z636"/>
      <c r="AA636"/>
      <c r="AD636"/>
    </row>
    <row r="637" spans="11:30" ht="18" customHeight="1">
      <c r="K637" t="str">
        <f>IF(OR($I637="Čaká na integráciu",$J637="Integrácia"),"ÁNO","")</f>
        <v/>
      </c>
      <c r="L637" t="str">
        <f>IF(OR($I637="Čaká na biznis",$J637="Biznis",$J637="Švédsky biznis"),"ÁNO","")</f>
        <v/>
      </c>
      <c r="N637" s="2"/>
      <c r="O637" s="3"/>
      <c r="Q637"/>
      <c r="R637" s="3"/>
      <c r="S637" s="3"/>
      <c r="T637"/>
      <c r="U637"/>
      <c r="V637"/>
      <c r="W637"/>
      <c r="Z637"/>
      <c r="AA637"/>
      <c r="AD637"/>
    </row>
    <row r="638" spans="11:30" ht="18" customHeight="1">
      <c r="K638" t="str">
        <f>IF(OR($I638="Čaká na integráciu",$J638="Integrácia"),"ÁNO","")</f>
        <v/>
      </c>
      <c r="L638" t="str">
        <f>IF(OR($I638="Čaká na biznis",$J638="Biznis",$J638="Švédsky biznis"),"ÁNO","")</f>
        <v/>
      </c>
      <c r="N638" s="2"/>
      <c r="O638" s="3"/>
      <c r="Q638"/>
      <c r="R638" s="3"/>
      <c r="S638" s="3"/>
      <c r="T638"/>
      <c r="U638"/>
      <c r="V638"/>
      <c r="W638"/>
      <c r="Z638"/>
      <c r="AA638"/>
      <c r="AD638"/>
    </row>
    <row r="639" spans="11:30" ht="18" customHeight="1">
      <c r="K639" t="str">
        <f>IF(OR($I639="Čaká na integráciu",$J639="Integrácia"),"ÁNO","")</f>
        <v/>
      </c>
      <c r="L639" t="str">
        <f>IF(OR($I639="Čaká na biznis",$J639="Biznis",$J639="Švédsky biznis"),"ÁNO","")</f>
        <v/>
      </c>
      <c r="N639" s="2"/>
      <c r="O639" s="3"/>
      <c r="Q639"/>
      <c r="R639" s="3"/>
      <c r="S639" s="3"/>
      <c r="T639"/>
      <c r="U639"/>
      <c r="V639"/>
      <c r="W639"/>
      <c r="Z639"/>
      <c r="AA639"/>
      <c r="AD639"/>
    </row>
    <row r="640" spans="11:30" ht="18" customHeight="1">
      <c r="K640" t="str">
        <f>IF(OR($I640="Čaká na integráciu",$J640="Integrácia"),"ÁNO","")</f>
        <v/>
      </c>
      <c r="L640" t="str">
        <f>IF(OR($I640="Čaká na biznis",$J640="Biznis",$J640="Švédsky biznis"),"ÁNO","")</f>
        <v/>
      </c>
      <c r="N640" s="2"/>
      <c r="O640" s="3"/>
      <c r="Q640"/>
      <c r="R640" s="3"/>
      <c r="S640" s="3"/>
      <c r="T640"/>
      <c r="U640"/>
      <c r="V640"/>
      <c r="W640"/>
      <c r="Z640"/>
      <c r="AA640"/>
      <c r="AD640"/>
    </row>
    <row r="641" spans="11:30" ht="18" customHeight="1">
      <c r="K641" t="str">
        <f>IF(OR($I641="Čaká na integráciu",$J641="Integrácia"),"ÁNO","")</f>
        <v/>
      </c>
      <c r="L641" t="str">
        <f>IF(OR($I641="Čaká na biznis",$J641="Biznis",$J641="Švédsky biznis"),"ÁNO","")</f>
        <v/>
      </c>
      <c r="N641" s="2"/>
      <c r="O641" s="3"/>
      <c r="Q641"/>
      <c r="R641" s="3"/>
      <c r="S641" s="3"/>
      <c r="T641"/>
      <c r="U641"/>
      <c r="V641"/>
      <c r="W641"/>
      <c r="Z641"/>
      <c r="AA641"/>
      <c r="AD641"/>
    </row>
    <row r="642" spans="11:30" ht="18" customHeight="1">
      <c r="K642" t="str">
        <f>IF(OR($I642="Čaká na integráciu",$J642="Integrácia"),"ÁNO","")</f>
        <v/>
      </c>
      <c r="L642" t="str">
        <f>IF(OR($I642="Čaká na biznis",$J642="Biznis",$J642="Švédsky biznis"),"ÁNO","")</f>
        <v/>
      </c>
      <c r="N642" s="2"/>
      <c r="O642" s="3"/>
      <c r="Q642"/>
      <c r="R642" s="3"/>
      <c r="S642" s="3"/>
      <c r="T642"/>
      <c r="U642"/>
      <c r="V642"/>
      <c r="W642"/>
      <c r="Z642"/>
      <c r="AA642"/>
      <c r="AD642"/>
    </row>
    <row r="643" spans="11:30" ht="18" customHeight="1">
      <c r="K643" t="str">
        <f>IF(OR($I643="Čaká na integráciu",$J643="Integrácia"),"ÁNO","")</f>
        <v/>
      </c>
      <c r="L643" t="str">
        <f>IF(OR($I643="Čaká na biznis",$J643="Biznis",$J643="Švédsky biznis"),"ÁNO","")</f>
        <v/>
      </c>
      <c r="N643" s="2"/>
      <c r="O643" s="3"/>
      <c r="Q643"/>
      <c r="R643" s="3"/>
      <c r="S643" s="3"/>
      <c r="T643"/>
      <c r="U643"/>
      <c r="V643"/>
      <c r="W643"/>
      <c r="Z643"/>
      <c r="AA643"/>
      <c r="AD643"/>
    </row>
    <row r="644" spans="11:30" ht="18" customHeight="1">
      <c r="K644" t="str">
        <f>IF(OR($I644="Čaká na integráciu",$J644="Integrácia"),"ÁNO","")</f>
        <v/>
      </c>
      <c r="L644" t="str">
        <f>IF(OR($I644="Čaká na biznis",$J644="Biznis",$J644="Švédsky biznis"),"ÁNO","")</f>
        <v/>
      </c>
      <c r="N644" s="2"/>
      <c r="O644" s="3"/>
      <c r="Q644"/>
      <c r="R644" s="3"/>
      <c r="S644" s="3"/>
      <c r="T644"/>
      <c r="U644"/>
      <c r="V644"/>
      <c r="W644"/>
      <c r="Z644"/>
      <c r="AA644"/>
      <c r="AD644"/>
    </row>
    <row r="645" spans="11:30" ht="18" customHeight="1">
      <c r="K645" t="str">
        <f>IF(OR($I645="Čaká na integráciu",$J645="Integrácia"),"ÁNO","")</f>
        <v/>
      </c>
      <c r="L645" t="str">
        <f>IF(OR($I645="Čaká na biznis",$J645="Biznis",$J645="Švédsky biznis"),"ÁNO","")</f>
        <v/>
      </c>
      <c r="N645" s="2"/>
      <c r="O645" s="3"/>
      <c r="Q645"/>
      <c r="R645" s="3"/>
      <c r="S645" s="3"/>
      <c r="T645"/>
      <c r="U645"/>
      <c r="V645"/>
      <c r="W645"/>
      <c r="Z645"/>
      <c r="AA645"/>
      <c r="AD645"/>
    </row>
    <row r="646" spans="11:30" ht="18" customHeight="1">
      <c r="K646" t="str">
        <f>IF(OR($I646="Čaká na integráciu",$J646="Integrácia"),"ÁNO","")</f>
        <v/>
      </c>
      <c r="L646" t="str">
        <f>IF(OR($I646="Čaká na biznis",$J646="Biznis",$J646="Švédsky biznis"),"ÁNO","")</f>
        <v/>
      </c>
      <c r="N646" s="2"/>
      <c r="O646" s="3"/>
      <c r="Q646"/>
      <c r="R646" s="3"/>
      <c r="S646" s="3"/>
      <c r="T646"/>
      <c r="U646"/>
      <c r="V646"/>
      <c r="W646"/>
      <c r="Z646"/>
      <c r="AA646"/>
      <c r="AD646"/>
    </row>
    <row r="647" spans="11:30" ht="18" customHeight="1">
      <c r="K647" t="str">
        <f>IF(OR($I647="Čaká na integráciu",$J647="Integrácia"),"ÁNO","")</f>
        <v/>
      </c>
      <c r="L647" t="str">
        <f>IF(OR($I647="Čaká na biznis",$J647="Biznis",$J647="Švédsky biznis"),"ÁNO","")</f>
        <v/>
      </c>
      <c r="N647" s="2"/>
      <c r="O647" s="3"/>
      <c r="Q647"/>
      <c r="R647" s="3"/>
      <c r="S647" s="3"/>
      <c r="T647"/>
      <c r="U647"/>
      <c r="V647"/>
      <c r="W647"/>
      <c r="Z647"/>
      <c r="AA647"/>
      <c r="AD647"/>
    </row>
    <row r="648" spans="11:30" ht="18" customHeight="1">
      <c r="K648" t="str">
        <f>IF(OR($I648="Čaká na integráciu",$J648="Integrácia"),"ÁNO","")</f>
        <v/>
      </c>
      <c r="L648" t="str">
        <f>IF(OR($I648="Čaká na biznis",$J648="Biznis",$J648="Švédsky biznis"),"ÁNO","")</f>
        <v/>
      </c>
      <c r="N648" s="2"/>
      <c r="O648" s="3"/>
      <c r="Q648"/>
      <c r="R648" s="3"/>
      <c r="S648" s="3"/>
      <c r="T648"/>
      <c r="U648"/>
      <c r="V648"/>
      <c r="W648"/>
      <c r="Z648"/>
      <c r="AA648"/>
      <c r="AD648"/>
    </row>
    <row r="649" spans="11:30" ht="18" customHeight="1">
      <c r="K649" t="str">
        <f>IF(OR($I649="Čaká na integráciu",$J649="Integrácia"),"ÁNO","")</f>
        <v/>
      </c>
      <c r="L649" t="str">
        <f>IF(OR($I649="Čaká na biznis",$J649="Biznis",$J649="Švédsky biznis"),"ÁNO","")</f>
        <v/>
      </c>
      <c r="N649" s="2"/>
      <c r="O649" s="3"/>
      <c r="Q649"/>
      <c r="R649" s="3"/>
      <c r="S649" s="3"/>
      <c r="T649"/>
      <c r="U649"/>
      <c r="V649"/>
      <c r="W649"/>
      <c r="Z649"/>
      <c r="AA649"/>
      <c r="AD649"/>
    </row>
    <row r="650" spans="11:30" ht="18" customHeight="1">
      <c r="K650" t="str">
        <f>IF(OR($I650="Čaká na integráciu",$J650="Integrácia"),"ÁNO","")</f>
        <v/>
      </c>
      <c r="L650" t="str">
        <f>IF(OR($I650="Čaká na biznis",$J650="Biznis",$J650="Švédsky biznis"),"ÁNO","")</f>
        <v/>
      </c>
      <c r="N650" s="2"/>
      <c r="O650" s="3"/>
      <c r="Q650"/>
      <c r="R650" s="3"/>
      <c r="S650" s="3"/>
      <c r="T650"/>
      <c r="U650"/>
      <c r="V650"/>
      <c r="W650"/>
      <c r="Z650"/>
      <c r="AA650"/>
      <c r="AD650"/>
    </row>
    <row r="651" spans="11:30" ht="18" customHeight="1">
      <c r="K651" t="str">
        <f>IF(OR($I651="Čaká na integráciu",$J651="Integrácia"),"ÁNO","")</f>
        <v/>
      </c>
      <c r="L651" t="str">
        <f>IF(OR($I651="Čaká na biznis",$J651="Biznis",$J651="Švédsky biznis"),"ÁNO","")</f>
        <v/>
      </c>
      <c r="N651" s="2"/>
      <c r="O651" s="3"/>
      <c r="Q651"/>
      <c r="R651" s="3"/>
      <c r="S651" s="3"/>
      <c r="T651"/>
      <c r="U651"/>
      <c r="V651"/>
      <c r="W651"/>
      <c r="Z651"/>
      <c r="AA651"/>
      <c r="AD651"/>
    </row>
    <row r="652" spans="11:30" ht="18" customHeight="1">
      <c r="K652" t="str">
        <f>IF(OR($I652="Čaká na integráciu",$J652="Integrácia"),"ÁNO","")</f>
        <v/>
      </c>
      <c r="L652" t="str">
        <f>IF(OR($I652="Čaká na biznis",$J652="Biznis",$J652="Švédsky biznis"),"ÁNO","")</f>
        <v/>
      </c>
      <c r="N652" s="2"/>
      <c r="O652" s="3"/>
      <c r="Q652"/>
      <c r="R652" s="3"/>
      <c r="S652" s="3"/>
      <c r="T652"/>
      <c r="U652"/>
      <c r="V652"/>
      <c r="W652"/>
      <c r="Z652"/>
      <c r="AA652"/>
      <c r="AD652"/>
    </row>
    <row r="653" spans="11:30" ht="18" customHeight="1">
      <c r="K653" t="str">
        <f>IF(OR($I653="Čaká na integráciu",$J653="Integrácia"),"ÁNO","")</f>
        <v/>
      </c>
      <c r="L653" t="str">
        <f>IF(OR($I653="Čaká na biznis",$J653="Biznis",$J653="Švédsky biznis"),"ÁNO","")</f>
        <v/>
      </c>
      <c r="N653" s="2"/>
      <c r="O653" s="3"/>
      <c r="Q653"/>
      <c r="R653" s="3"/>
      <c r="S653" s="3"/>
      <c r="T653"/>
      <c r="U653"/>
      <c r="V653"/>
      <c r="W653"/>
      <c r="Z653"/>
      <c r="AA653"/>
      <c r="AD653"/>
    </row>
    <row r="654" spans="11:30" ht="18" customHeight="1">
      <c r="K654" t="str">
        <f>IF(OR($I654="Čaká na integráciu",$J654="Integrácia"),"ÁNO","")</f>
        <v/>
      </c>
      <c r="L654" t="str">
        <f>IF(OR($I654="Čaká na biznis",$J654="Biznis",$J654="Švédsky biznis"),"ÁNO","")</f>
        <v/>
      </c>
      <c r="N654" s="2"/>
      <c r="O654" s="3"/>
      <c r="Q654"/>
      <c r="R654" s="3"/>
      <c r="S654" s="3"/>
      <c r="T654"/>
      <c r="U654"/>
      <c r="V654"/>
      <c r="W654"/>
      <c r="Z654"/>
      <c r="AA654"/>
      <c r="AD654"/>
    </row>
    <row r="655" spans="11:30" ht="18" customHeight="1">
      <c r="K655" t="str">
        <f>IF(OR($I655="Čaká na integráciu",$J655="Integrácia"),"ÁNO","")</f>
        <v/>
      </c>
      <c r="L655" t="str">
        <f>IF(OR($I655="Čaká na biznis",$J655="Biznis",$J655="Švédsky biznis"),"ÁNO","")</f>
        <v/>
      </c>
      <c r="N655" s="2"/>
      <c r="O655" s="3"/>
      <c r="Q655"/>
      <c r="R655" s="3"/>
      <c r="S655" s="3"/>
      <c r="T655"/>
      <c r="U655"/>
      <c r="V655"/>
      <c r="W655"/>
      <c r="Z655"/>
      <c r="AA655"/>
      <c r="AD655"/>
    </row>
    <row r="656" spans="11:30" ht="18" customHeight="1">
      <c r="K656" t="str">
        <f>IF(OR($I656="Čaká na integráciu",$J656="Integrácia"),"ÁNO","")</f>
        <v/>
      </c>
      <c r="L656" t="str">
        <f>IF(OR($I656="Čaká na biznis",$J656="Biznis",$J656="Švédsky biznis"),"ÁNO","")</f>
        <v/>
      </c>
      <c r="N656" s="2"/>
      <c r="O656" s="3"/>
      <c r="Q656"/>
      <c r="R656" s="3"/>
      <c r="S656" s="3"/>
      <c r="T656"/>
      <c r="U656"/>
      <c r="V656"/>
      <c r="W656"/>
      <c r="Z656"/>
      <c r="AA656"/>
      <c r="AD656"/>
    </row>
    <row r="657" spans="11:30" ht="18" customHeight="1">
      <c r="K657" t="str">
        <f>IF(OR($I657="Čaká na integráciu",$J657="Integrácia"),"ÁNO","")</f>
        <v/>
      </c>
      <c r="L657" t="str">
        <f>IF(OR($I657="Čaká na biznis",$J657="Biznis",$J657="Švédsky biznis"),"ÁNO","")</f>
        <v/>
      </c>
      <c r="N657" s="2"/>
      <c r="O657" s="3"/>
      <c r="Q657"/>
      <c r="R657" s="3"/>
      <c r="S657" s="3"/>
      <c r="T657"/>
      <c r="U657"/>
      <c r="V657"/>
      <c r="W657"/>
      <c r="Z657"/>
      <c r="AA657"/>
      <c r="AD657"/>
    </row>
    <row r="658" spans="11:30" ht="18" customHeight="1">
      <c r="K658" t="str">
        <f>IF(OR($I658="Čaká na integráciu",$J658="Integrácia"),"ÁNO","")</f>
        <v/>
      </c>
      <c r="L658" t="str">
        <f>IF(OR($I658="Čaká na biznis",$J658="Biznis",$J658="Švédsky biznis"),"ÁNO","")</f>
        <v/>
      </c>
      <c r="N658" s="2"/>
      <c r="O658" s="3"/>
      <c r="Q658"/>
      <c r="R658" s="3"/>
      <c r="S658" s="3"/>
      <c r="T658"/>
      <c r="U658"/>
      <c r="V658"/>
      <c r="W658"/>
      <c r="Z658"/>
      <c r="AA658"/>
      <c r="AD658"/>
    </row>
    <row r="659" spans="11:30" ht="18" customHeight="1">
      <c r="K659" t="str">
        <f>IF(OR($I659="Čaká na integráciu",$J659="Integrácia"),"ÁNO","")</f>
        <v/>
      </c>
      <c r="L659" t="str">
        <f>IF(OR($I659="Čaká na biznis",$J659="Biznis",$J659="Švédsky biznis"),"ÁNO","")</f>
        <v/>
      </c>
      <c r="N659" s="2"/>
      <c r="O659" s="3"/>
      <c r="Q659"/>
      <c r="R659" s="3"/>
      <c r="S659" s="3"/>
      <c r="T659"/>
      <c r="U659"/>
      <c r="V659"/>
      <c r="W659"/>
      <c r="Z659"/>
      <c r="AA659"/>
      <c r="AD659"/>
    </row>
    <row r="660" spans="11:30" ht="18" customHeight="1">
      <c r="K660" t="str">
        <f>IF(OR($I660="Čaká na integráciu",$J660="Integrácia"),"ÁNO","")</f>
        <v/>
      </c>
      <c r="L660" t="str">
        <f>IF(OR($I660="Čaká na biznis",$J660="Biznis",$J660="Švédsky biznis"),"ÁNO","")</f>
        <v/>
      </c>
      <c r="N660" s="2"/>
      <c r="O660" s="3"/>
      <c r="Q660"/>
      <c r="R660" s="3"/>
      <c r="S660" s="3"/>
      <c r="T660"/>
      <c r="U660"/>
      <c r="V660"/>
      <c r="W660"/>
      <c r="Z660"/>
      <c r="AA660"/>
      <c r="AD660"/>
    </row>
    <row r="661" spans="11:30" ht="18" customHeight="1">
      <c r="K661" t="str">
        <f>IF(OR($I661="Čaká na integráciu",$J661="Integrácia"),"ÁNO","")</f>
        <v/>
      </c>
      <c r="L661" t="str">
        <f>IF(OR($I661="Čaká na biznis",$J661="Biznis",$J661="Švédsky biznis"),"ÁNO","")</f>
        <v/>
      </c>
      <c r="N661" s="2"/>
      <c r="O661" s="3"/>
      <c r="Q661"/>
      <c r="R661" s="3"/>
      <c r="S661" s="3"/>
      <c r="T661"/>
      <c r="U661"/>
      <c r="V661"/>
      <c r="W661"/>
      <c r="Z661"/>
      <c r="AA661"/>
      <c r="AD661"/>
    </row>
    <row r="662" spans="11:30" ht="18" customHeight="1">
      <c r="K662" t="str">
        <f>IF(OR($I662="Čaká na integráciu",$J662="Integrácia"),"ÁNO","")</f>
        <v/>
      </c>
      <c r="L662" t="str">
        <f>IF(OR($I662="Čaká na biznis",$J662="Biznis",$J662="Švédsky biznis"),"ÁNO","")</f>
        <v/>
      </c>
      <c r="N662" s="2"/>
      <c r="O662" s="3"/>
      <c r="Q662"/>
      <c r="R662" s="3"/>
      <c r="S662" s="3"/>
      <c r="T662"/>
      <c r="U662"/>
      <c r="V662"/>
      <c r="W662"/>
      <c r="Z662"/>
      <c r="AA662"/>
      <c r="AD662"/>
    </row>
    <row r="663" spans="11:30" ht="18" customHeight="1">
      <c r="K663" t="str">
        <f>IF(OR($I663="Čaká na integráciu",$J663="Integrácia"),"ÁNO","")</f>
        <v/>
      </c>
      <c r="L663" t="str">
        <f>IF(OR($I663="Čaká na biznis",$J663="Biznis",$J663="Švédsky biznis"),"ÁNO","")</f>
        <v/>
      </c>
      <c r="N663" s="2"/>
      <c r="O663" s="3"/>
      <c r="Q663"/>
      <c r="R663" s="3"/>
      <c r="S663" s="3"/>
      <c r="T663"/>
      <c r="U663"/>
      <c r="V663"/>
      <c r="W663"/>
      <c r="Z663"/>
      <c r="AA663"/>
      <c r="AD663"/>
    </row>
    <row r="664" spans="11:30" ht="18" customHeight="1">
      <c r="K664" t="str">
        <f>IF(OR($I664="Čaká na integráciu",$J664="Integrácia"),"ÁNO","")</f>
        <v/>
      </c>
      <c r="L664" t="str">
        <f>IF(OR($I664="Čaká na biznis",$J664="Biznis",$J664="Švédsky biznis"),"ÁNO","")</f>
        <v/>
      </c>
      <c r="N664" s="2"/>
      <c r="O664" s="3"/>
      <c r="Q664"/>
      <c r="R664" s="3"/>
      <c r="S664" s="3"/>
      <c r="T664"/>
      <c r="U664"/>
      <c r="V664"/>
      <c r="W664"/>
      <c r="Z664"/>
      <c r="AA664"/>
      <c r="AD664"/>
    </row>
    <row r="665" spans="11:30" ht="18" customHeight="1">
      <c r="K665" t="str">
        <f>IF(OR($I665="Čaká na integráciu",$J665="Integrácia"),"ÁNO","")</f>
        <v/>
      </c>
      <c r="L665" t="str">
        <f>IF(OR($I665="Čaká na biznis",$J665="Biznis",$J665="Švédsky biznis"),"ÁNO","")</f>
        <v/>
      </c>
      <c r="N665" s="2"/>
      <c r="O665" s="3"/>
      <c r="Q665"/>
      <c r="R665" s="3"/>
      <c r="S665" s="3"/>
      <c r="T665"/>
      <c r="U665"/>
      <c r="V665"/>
      <c r="W665"/>
      <c r="Z665"/>
      <c r="AA665"/>
      <c r="AD665"/>
    </row>
    <row r="666" spans="11:30" ht="18" customHeight="1">
      <c r="K666" t="str">
        <f>IF(OR($I666="Čaká na integráciu",$J666="Integrácia"),"ÁNO","")</f>
        <v/>
      </c>
      <c r="L666" t="str">
        <f>IF(OR($I666="Čaká na biznis",$J666="Biznis",$J666="Švédsky biznis"),"ÁNO","")</f>
        <v/>
      </c>
      <c r="N666" s="2"/>
      <c r="O666" s="3"/>
      <c r="Q666"/>
      <c r="R666" s="3"/>
      <c r="S666" s="3"/>
      <c r="T666"/>
      <c r="U666"/>
      <c r="V666"/>
      <c r="W666"/>
      <c r="Z666"/>
      <c r="AA666"/>
      <c r="AD666"/>
    </row>
    <row r="667" spans="11:30" ht="18" customHeight="1">
      <c r="K667" t="str">
        <f>IF(OR($I667="Čaká na integráciu",$J667="Integrácia"),"ÁNO","")</f>
        <v/>
      </c>
      <c r="L667" t="str">
        <f>IF(OR($I667="Čaká na biznis",$J667="Biznis",$J667="Švédsky biznis"),"ÁNO","")</f>
        <v/>
      </c>
      <c r="N667" s="2"/>
      <c r="O667" s="3"/>
      <c r="Q667"/>
      <c r="R667" s="3"/>
      <c r="S667" s="3"/>
      <c r="T667"/>
      <c r="U667"/>
      <c r="V667"/>
      <c r="W667"/>
      <c r="Z667"/>
      <c r="AA667"/>
      <c r="AD667"/>
    </row>
    <row r="668" spans="11:30" ht="18" customHeight="1">
      <c r="K668" t="str">
        <f>IF(OR($I668="Čaká na integráciu",$J668="Integrácia"),"ÁNO","")</f>
        <v/>
      </c>
      <c r="L668" t="str">
        <f>IF(OR($I668="Čaká na biznis",$J668="Biznis",$J668="Švédsky biznis"),"ÁNO","")</f>
        <v/>
      </c>
      <c r="N668" s="2"/>
      <c r="O668" s="3"/>
      <c r="Q668"/>
      <c r="R668" s="3"/>
      <c r="S668" s="3"/>
      <c r="T668"/>
      <c r="U668"/>
      <c r="V668"/>
      <c r="W668"/>
      <c r="Z668"/>
      <c r="AA668"/>
      <c r="AD668"/>
    </row>
    <row r="669" spans="11:30" ht="18" customHeight="1">
      <c r="K669" t="str">
        <f>IF(OR($I669="Čaká na integráciu",$J669="Integrácia"),"ÁNO","")</f>
        <v/>
      </c>
      <c r="L669" t="str">
        <f>IF(OR($I669="Čaká na biznis",$J669="Biznis",$J669="Švédsky biznis"),"ÁNO","")</f>
        <v/>
      </c>
      <c r="N669" s="2"/>
      <c r="O669" s="3"/>
      <c r="Q669"/>
      <c r="R669" s="3"/>
      <c r="S669" s="3"/>
      <c r="T669"/>
      <c r="U669"/>
      <c r="V669"/>
      <c r="W669"/>
      <c r="Z669"/>
      <c r="AA669"/>
      <c r="AD669"/>
    </row>
    <row r="670" spans="11:30" ht="18" customHeight="1">
      <c r="K670" t="str">
        <f>IF(OR($I670="Čaká na integráciu",$J670="Integrácia"),"ÁNO","")</f>
        <v/>
      </c>
      <c r="L670" t="str">
        <f>IF(OR($I670="Čaká na biznis",$J670="Biznis",$J670="Švédsky biznis"),"ÁNO","")</f>
        <v/>
      </c>
      <c r="N670" s="2"/>
      <c r="O670" s="3"/>
      <c r="Q670"/>
      <c r="R670" s="3"/>
      <c r="S670" s="3"/>
      <c r="T670"/>
      <c r="U670"/>
      <c r="V670"/>
      <c r="W670"/>
      <c r="Z670"/>
      <c r="AA670"/>
      <c r="AD670"/>
    </row>
    <row r="671" spans="11:30" ht="18" customHeight="1">
      <c r="K671" t="str">
        <f>IF(OR($I671="Čaká na integráciu",$J671="Integrácia"),"ÁNO","")</f>
        <v/>
      </c>
      <c r="L671" t="str">
        <f>IF(OR($I671="Čaká na biznis",$J671="Biznis",$J671="Švédsky biznis"),"ÁNO","")</f>
        <v/>
      </c>
      <c r="N671" s="2"/>
      <c r="O671" s="3"/>
      <c r="Q671"/>
      <c r="R671" s="3"/>
      <c r="S671" s="3"/>
      <c r="T671"/>
      <c r="U671"/>
      <c r="V671"/>
      <c r="W671"/>
      <c r="Z671"/>
      <c r="AA671"/>
      <c r="AD671"/>
    </row>
    <row r="672" spans="11:30" ht="18" customHeight="1">
      <c r="K672" t="str">
        <f>IF(OR($I672="Čaká na integráciu",$J672="Integrácia"),"ÁNO","")</f>
        <v/>
      </c>
      <c r="L672" t="str">
        <f>IF(OR($I672="Čaká na biznis",$J672="Biznis",$J672="Švédsky biznis"),"ÁNO","")</f>
        <v/>
      </c>
      <c r="N672" s="2"/>
      <c r="O672" s="3"/>
      <c r="Q672"/>
      <c r="R672" s="3"/>
      <c r="S672" s="3"/>
      <c r="T672"/>
      <c r="U672"/>
      <c r="V672"/>
      <c r="W672"/>
      <c r="Z672"/>
      <c r="AA672"/>
      <c r="AD672"/>
    </row>
    <row r="673" spans="11:30" ht="18" customHeight="1">
      <c r="K673" t="str">
        <f>IF(OR($I673="Čaká na integráciu",$J673="Integrácia"),"ÁNO","")</f>
        <v/>
      </c>
      <c r="L673" t="str">
        <f>IF(OR($I673="Čaká na biznis",$J673="Biznis",$J673="Švédsky biznis"),"ÁNO","")</f>
        <v/>
      </c>
      <c r="N673" s="2"/>
      <c r="O673" s="3"/>
      <c r="Q673"/>
      <c r="R673" s="3"/>
      <c r="S673" s="3"/>
      <c r="T673"/>
      <c r="U673"/>
      <c r="V673"/>
      <c r="W673"/>
      <c r="Z673"/>
      <c r="AA673"/>
      <c r="AD673"/>
    </row>
    <row r="674" spans="11:30" ht="18" customHeight="1">
      <c r="K674" t="str">
        <f>IF(OR($I674="Čaká na integráciu",$J674="Integrácia"),"ÁNO","")</f>
        <v/>
      </c>
      <c r="L674" t="str">
        <f>IF(OR($I674="Čaká na biznis",$J674="Biznis",$J674="Švédsky biznis"),"ÁNO","")</f>
        <v/>
      </c>
      <c r="N674" s="2"/>
      <c r="O674" s="3"/>
      <c r="Q674"/>
      <c r="R674" s="3"/>
      <c r="S674" s="3"/>
      <c r="T674"/>
      <c r="U674"/>
      <c r="V674"/>
      <c r="W674"/>
      <c r="Z674"/>
      <c r="AA674"/>
      <c r="AD674"/>
    </row>
    <row r="675" spans="11:30" ht="18" customHeight="1">
      <c r="K675" t="str">
        <f>IF(OR($I675="Čaká na integráciu",$J675="Integrácia"),"ÁNO","")</f>
        <v/>
      </c>
      <c r="L675" t="str">
        <f>IF(OR($I675="Čaká na biznis",$J675="Biznis",$J675="Švédsky biznis"),"ÁNO","")</f>
        <v/>
      </c>
      <c r="N675" s="2"/>
      <c r="O675" s="3"/>
      <c r="Q675"/>
      <c r="R675" s="3"/>
      <c r="S675" s="3"/>
      <c r="T675"/>
      <c r="U675"/>
      <c r="V675"/>
      <c r="W675"/>
      <c r="Z675"/>
      <c r="AA675"/>
      <c r="AD675"/>
    </row>
    <row r="676" spans="11:30" ht="18" customHeight="1">
      <c r="K676" t="str">
        <f>IF(OR($I676="Čaká na integráciu",$J676="Integrácia"),"ÁNO","")</f>
        <v/>
      </c>
      <c r="L676" t="str">
        <f>IF(OR($I676="Čaká na biznis",$J676="Biznis",$J676="Švédsky biznis"),"ÁNO","")</f>
        <v/>
      </c>
      <c r="N676" s="2"/>
      <c r="O676" s="3"/>
      <c r="Q676"/>
      <c r="R676" s="3"/>
      <c r="S676" s="3"/>
      <c r="T676"/>
      <c r="U676"/>
      <c r="V676"/>
      <c r="W676"/>
      <c r="Z676"/>
      <c r="AA676"/>
      <c r="AD676"/>
    </row>
    <row r="677" spans="11:30" ht="18" customHeight="1">
      <c r="K677" t="str">
        <f>IF(OR($I677="Čaká na integráciu",$J677="Integrácia"),"ÁNO","")</f>
        <v/>
      </c>
      <c r="L677" t="str">
        <f>IF(OR($I677="Čaká na biznis",$J677="Biznis",$J677="Švédsky biznis"),"ÁNO","")</f>
        <v/>
      </c>
      <c r="N677" s="2"/>
      <c r="O677" s="3"/>
      <c r="Q677"/>
      <c r="R677" s="3"/>
      <c r="S677" s="3"/>
      <c r="T677"/>
      <c r="U677"/>
      <c r="V677"/>
      <c r="W677"/>
      <c r="Z677"/>
      <c r="AA677"/>
      <c r="AD677"/>
    </row>
    <row r="678" spans="11:30" ht="18" customHeight="1">
      <c r="K678" t="str">
        <f>IF(OR($I678="Čaká na integráciu",$J678="Integrácia"),"ÁNO","")</f>
        <v/>
      </c>
      <c r="L678" t="str">
        <f>IF(OR($I678="Čaká na biznis",$J678="Biznis",$J678="Švédsky biznis"),"ÁNO","")</f>
        <v/>
      </c>
      <c r="N678" s="2"/>
      <c r="O678" s="3"/>
      <c r="Q678"/>
      <c r="R678" s="3"/>
      <c r="S678" s="3"/>
      <c r="T678"/>
      <c r="U678"/>
      <c r="V678"/>
      <c r="W678"/>
      <c r="Z678"/>
      <c r="AA678"/>
      <c r="AD678"/>
    </row>
    <row r="679" spans="11:30" ht="18" customHeight="1">
      <c r="K679" t="str">
        <f>IF(OR($I679="Čaká na integráciu",$J679="Integrácia"),"ÁNO","")</f>
        <v/>
      </c>
      <c r="L679" t="str">
        <f>IF(OR($I679="Čaká na biznis",$J679="Biznis",$J679="Švédsky biznis"),"ÁNO","")</f>
        <v/>
      </c>
      <c r="N679" s="2"/>
      <c r="O679" s="3"/>
      <c r="Q679"/>
      <c r="R679" s="3"/>
      <c r="S679" s="3"/>
      <c r="T679"/>
      <c r="U679"/>
      <c r="V679"/>
      <c r="W679"/>
      <c r="Z679"/>
      <c r="AA679"/>
      <c r="AD679"/>
    </row>
    <row r="680" spans="11:30" ht="18" customHeight="1">
      <c r="K680" t="str">
        <f>IF(OR($I680="Čaká na integráciu",$J680="Integrácia"),"ÁNO","")</f>
        <v/>
      </c>
      <c r="L680" t="str">
        <f>IF(OR($I680="Čaká na biznis",$J680="Biznis",$J680="Švédsky biznis"),"ÁNO","")</f>
        <v/>
      </c>
      <c r="N680" s="2"/>
      <c r="O680" s="3"/>
      <c r="Q680"/>
      <c r="R680" s="3"/>
      <c r="S680" s="3"/>
      <c r="T680"/>
      <c r="U680"/>
      <c r="V680"/>
      <c r="W680"/>
      <c r="Z680"/>
      <c r="AA680"/>
      <c r="AD680"/>
    </row>
    <row r="681" spans="11:30" ht="18" customHeight="1">
      <c r="K681" t="str">
        <f>IF(OR($I681="Čaká na integráciu",$J681="Integrácia"),"ÁNO","")</f>
        <v/>
      </c>
      <c r="L681" t="str">
        <f>IF(OR($I681="Čaká na biznis",$J681="Biznis",$J681="Švédsky biznis"),"ÁNO","")</f>
        <v/>
      </c>
      <c r="N681" s="2"/>
      <c r="O681" s="3"/>
      <c r="Q681"/>
      <c r="R681" s="3"/>
      <c r="S681" s="3"/>
      <c r="T681"/>
      <c r="U681"/>
      <c r="V681"/>
      <c r="W681"/>
      <c r="Z681"/>
      <c r="AA681"/>
      <c r="AD681"/>
    </row>
    <row r="682" spans="11:30" ht="18" customHeight="1">
      <c r="K682" t="str">
        <f>IF(OR($I682="Čaká na integráciu",$J682="Integrácia"),"ÁNO","")</f>
        <v/>
      </c>
      <c r="L682" t="str">
        <f>IF(OR($I682="Čaká na biznis",$J682="Biznis",$J682="Švédsky biznis"),"ÁNO","")</f>
        <v/>
      </c>
      <c r="N682" s="2"/>
      <c r="O682" s="3"/>
      <c r="Q682"/>
      <c r="R682" s="3"/>
      <c r="S682" s="3"/>
      <c r="T682"/>
      <c r="U682"/>
      <c r="V682"/>
      <c r="W682"/>
      <c r="Z682"/>
      <c r="AA682"/>
      <c r="AD682"/>
    </row>
    <row r="683" spans="11:30" ht="18" customHeight="1">
      <c r="K683" t="str">
        <f>IF(OR($I683="Čaká na integráciu",$J683="Integrácia"),"ÁNO","")</f>
        <v/>
      </c>
      <c r="L683" t="str">
        <f>IF(OR($I683="Čaká na biznis",$J683="Biznis",$J683="Švédsky biznis"),"ÁNO","")</f>
        <v/>
      </c>
      <c r="N683" s="2"/>
      <c r="O683" s="3"/>
      <c r="Q683"/>
      <c r="R683" s="3"/>
      <c r="S683" s="3"/>
      <c r="T683"/>
      <c r="U683"/>
      <c r="V683"/>
      <c r="W683"/>
      <c r="Z683"/>
      <c r="AA683"/>
      <c r="AD683"/>
    </row>
    <row r="684" spans="11:30" ht="18" customHeight="1">
      <c r="K684" t="str">
        <f>IF(OR($I684="Čaká na integráciu",$J684="Integrácia"),"ÁNO","")</f>
        <v/>
      </c>
      <c r="L684" t="str">
        <f>IF(OR($I684="Čaká na biznis",$J684="Biznis",$J684="Švédsky biznis"),"ÁNO","")</f>
        <v/>
      </c>
      <c r="N684" s="2"/>
      <c r="O684" s="3"/>
      <c r="Q684"/>
      <c r="R684" s="3"/>
      <c r="S684" s="3"/>
      <c r="T684"/>
      <c r="U684"/>
      <c r="V684"/>
      <c r="W684"/>
      <c r="Z684"/>
      <c r="AA684"/>
      <c r="AD684"/>
    </row>
    <row r="685" spans="11:30" ht="18" customHeight="1">
      <c r="K685" t="str">
        <f>IF(OR($I685="Čaká na integráciu",$J685="Integrácia"),"ÁNO","")</f>
        <v/>
      </c>
      <c r="L685" t="str">
        <f>IF(OR($I685="Čaká na biznis",$J685="Biznis",$J685="Švédsky biznis"),"ÁNO","")</f>
        <v/>
      </c>
      <c r="N685" s="2"/>
      <c r="O685" s="3"/>
      <c r="Q685"/>
      <c r="R685" s="3"/>
      <c r="S685" s="3"/>
      <c r="T685"/>
      <c r="U685"/>
      <c r="V685"/>
      <c r="W685"/>
      <c r="Z685"/>
      <c r="AA685"/>
      <c r="AD685"/>
    </row>
    <row r="686" spans="11:30" ht="18" customHeight="1">
      <c r="K686" t="str">
        <f>IF(OR($I686="Čaká na integráciu",$J686="Integrácia"),"ÁNO","")</f>
        <v/>
      </c>
      <c r="L686" t="str">
        <f>IF(OR($I686="Čaká na biznis",$J686="Biznis",$J686="Švédsky biznis"),"ÁNO","")</f>
        <v/>
      </c>
      <c r="N686" s="2"/>
      <c r="O686" s="3"/>
      <c r="Q686"/>
      <c r="R686" s="3"/>
      <c r="S686" s="3"/>
      <c r="T686"/>
      <c r="U686"/>
      <c r="V686"/>
      <c r="W686"/>
      <c r="Z686"/>
      <c r="AA686"/>
      <c r="AD686"/>
    </row>
    <row r="687" spans="11:30" ht="18" customHeight="1">
      <c r="K687" t="str">
        <f>IF(OR($I687="Čaká na integráciu",$J687="Integrácia"),"ÁNO","")</f>
        <v/>
      </c>
      <c r="L687" t="str">
        <f>IF(OR($I687="Čaká na biznis",$J687="Biznis",$J687="Švédsky biznis"),"ÁNO","")</f>
        <v/>
      </c>
      <c r="N687" s="2"/>
      <c r="O687" s="3"/>
      <c r="Q687"/>
      <c r="R687" s="3"/>
      <c r="S687" s="3"/>
      <c r="T687"/>
      <c r="U687"/>
      <c r="V687"/>
      <c r="W687"/>
      <c r="Z687"/>
      <c r="AA687"/>
      <c r="AD687"/>
    </row>
    <row r="688" spans="11:30" ht="18" customHeight="1">
      <c r="K688" t="str">
        <f>IF(OR($I688="Čaká na integráciu",$J688="Integrácia"),"ÁNO","")</f>
        <v/>
      </c>
      <c r="L688" t="str">
        <f>IF(OR($I688="Čaká na biznis",$J688="Biznis",$J688="Švédsky biznis"),"ÁNO","")</f>
        <v/>
      </c>
      <c r="N688" s="2"/>
      <c r="O688" s="3"/>
      <c r="Q688"/>
      <c r="R688" s="3"/>
      <c r="S688" s="3"/>
      <c r="T688"/>
      <c r="U688"/>
      <c r="V688"/>
      <c r="W688"/>
      <c r="Z688"/>
      <c r="AA688"/>
      <c r="AD688"/>
    </row>
    <row r="689" spans="11:30" ht="18" customHeight="1">
      <c r="K689" t="str">
        <f>IF(OR($I689="Čaká na integráciu",$J689="Integrácia"),"ÁNO","")</f>
        <v/>
      </c>
      <c r="L689" t="str">
        <f>IF(OR($I689="Čaká na biznis",$J689="Biznis",$J689="Švédsky biznis"),"ÁNO","")</f>
        <v/>
      </c>
      <c r="N689" s="2"/>
      <c r="O689" s="3"/>
      <c r="Q689"/>
      <c r="R689" s="3"/>
      <c r="S689" s="3"/>
      <c r="T689"/>
      <c r="U689"/>
      <c r="V689"/>
      <c r="W689"/>
      <c r="Z689"/>
      <c r="AA689"/>
      <c r="AD689"/>
    </row>
    <row r="690" spans="11:30" ht="18" customHeight="1">
      <c r="K690" t="str">
        <f>IF(OR($I690="Čaká na integráciu",$J690="Integrácia"),"ÁNO","")</f>
        <v/>
      </c>
      <c r="L690" t="str">
        <f>IF(OR($I690="Čaká na biznis",$J690="Biznis",$J690="Švédsky biznis"),"ÁNO","")</f>
        <v/>
      </c>
      <c r="N690" s="2"/>
      <c r="O690" s="3"/>
      <c r="Q690"/>
      <c r="R690" s="3"/>
      <c r="S690" s="3"/>
      <c r="T690"/>
      <c r="U690"/>
      <c r="V690"/>
      <c r="W690"/>
      <c r="Z690"/>
      <c r="AA690"/>
      <c r="AD690"/>
    </row>
    <row r="691" spans="11:30" ht="18" customHeight="1">
      <c r="K691" t="str">
        <f>IF(OR($I691="Čaká na integráciu",$J691="Integrácia"),"ÁNO","")</f>
        <v/>
      </c>
      <c r="L691" t="str">
        <f>IF(OR($I691="Čaká na biznis",$J691="Biznis",$J691="Švédsky biznis"),"ÁNO","")</f>
        <v/>
      </c>
      <c r="N691" s="2"/>
      <c r="O691" s="3"/>
      <c r="Q691"/>
      <c r="R691" s="3"/>
      <c r="S691" s="3"/>
      <c r="T691"/>
      <c r="U691"/>
      <c r="V691"/>
      <c r="W691"/>
      <c r="Z691"/>
      <c r="AA691"/>
      <c r="AD691"/>
    </row>
    <row r="692" spans="11:30" ht="18" customHeight="1">
      <c r="K692" t="str">
        <f>IF(OR($I692="Čaká na integráciu",$J692="Integrácia"),"ÁNO","")</f>
        <v/>
      </c>
      <c r="L692" t="str">
        <f>IF(OR($I692="Čaká na biznis",$J692="Biznis",$J692="Švédsky biznis"),"ÁNO","")</f>
        <v/>
      </c>
      <c r="N692" s="2"/>
      <c r="O692" s="3"/>
      <c r="Q692"/>
      <c r="R692" s="3"/>
      <c r="S692" s="3"/>
      <c r="T692"/>
      <c r="U692"/>
      <c r="V692"/>
      <c r="W692"/>
      <c r="Z692"/>
      <c r="AA692"/>
      <c r="AD692"/>
    </row>
    <row r="693" spans="11:30" ht="18" customHeight="1">
      <c r="K693" t="str">
        <f>IF(OR($I693="Čaká na integráciu",$J693="Integrácia"),"ÁNO","")</f>
        <v/>
      </c>
      <c r="L693" t="str">
        <f>IF(OR($I693="Čaká na biznis",$J693="Biznis",$J693="Švédsky biznis"),"ÁNO","")</f>
        <v/>
      </c>
      <c r="N693" s="2"/>
      <c r="O693" s="3"/>
      <c r="Q693"/>
      <c r="R693" s="3"/>
      <c r="S693" s="3"/>
      <c r="T693"/>
      <c r="U693"/>
      <c r="V693"/>
      <c r="W693"/>
      <c r="Z693"/>
      <c r="AA693"/>
      <c r="AD693"/>
    </row>
    <row r="694" spans="11:30" ht="18" customHeight="1">
      <c r="K694" t="str">
        <f>IF(OR($I694="Čaká na integráciu",$J694="Integrácia"),"ÁNO","")</f>
        <v/>
      </c>
      <c r="L694" t="str">
        <f>IF(OR($I694="Čaká na biznis",$J694="Biznis",$J694="Švédsky biznis"),"ÁNO","")</f>
        <v/>
      </c>
      <c r="N694" s="2"/>
      <c r="O694" s="3"/>
      <c r="Q694"/>
      <c r="R694" s="3"/>
      <c r="S694" s="3"/>
      <c r="T694"/>
      <c r="U694"/>
      <c r="V694"/>
      <c r="W694"/>
      <c r="Z694"/>
      <c r="AA694"/>
      <c r="AD694"/>
    </row>
    <row r="695" spans="11:30" ht="18" customHeight="1">
      <c r="K695" t="str">
        <f>IF(OR($I695="Čaká na integráciu",$J695="Integrácia"),"ÁNO","")</f>
        <v/>
      </c>
      <c r="L695" t="str">
        <f>IF(OR($I695="Čaká na biznis",$J695="Biznis",$J695="Švédsky biznis"),"ÁNO","")</f>
        <v/>
      </c>
      <c r="N695" s="2"/>
      <c r="O695" s="3"/>
      <c r="Q695"/>
      <c r="R695" s="3"/>
      <c r="S695" s="3"/>
      <c r="T695"/>
      <c r="U695"/>
      <c r="V695"/>
      <c r="W695"/>
      <c r="Z695"/>
      <c r="AA695"/>
      <c r="AD695"/>
    </row>
    <row r="696" spans="11:30" ht="18" customHeight="1">
      <c r="K696" t="str">
        <f>IF(OR($I696="Čaká na integráciu",$J696="Integrácia"),"ÁNO","")</f>
        <v/>
      </c>
      <c r="L696" t="str">
        <f>IF(OR($I696="Čaká na biznis",$J696="Biznis",$J696="Švédsky biznis"),"ÁNO","")</f>
        <v/>
      </c>
      <c r="N696" s="2"/>
      <c r="O696" s="3"/>
      <c r="Q696"/>
      <c r="R696" s="3"/>
      <c r="S696" s="3"/>
      <c r="T696"/>
      <c r="U696"/>
      <c r="V696"/>
      <c r="W696"/>
      <c r="Z696"/>
      <c r="AA696"/>
      <c r="AD696"/>
    </row>
    <row r="697" spans="11:30" ht="18" customHeight="1">
      <c r="K697" t="str">
        <f>IF(OR($I697="Čaká na integráciu",$J697="Integrácia"),"ÁNO","")</f>
        <v/>
      </c>
      <c r="L697" t="str">
        <f>IF(OR($I697="Čaká na biznis",$J697="Biznis",$J697="Švédsky biznis"),"ÁNO","")</f>
        <v/>
      </c>
      <c r="N697" s="2"/>
      <c r="O697" s="3"/>
      <c r="Q697"/>
      <c r="R697" s="3"/>
      <c r="S697" s="3"/>
      <c r="T697"/>
      <c r="U697"/>
      <c r="V697"/>
      <c r="W697"/>
      <c r="Z697"/>
      <c r="AA697"/>
      <c r="AD697"/>
    </row>
    <row r="698" spans="11:30" ht="18" customHeight="1">
      <c r="K698" t="str">
        <f>IF(OR($I698="Čaká na integráciu",$J698="Integrácia"),"ÁNO","")</f>
        <v/>
      </c>
      <c r="L698" t="str">
        <f>IF(OR($I698="Čaká na biznis",$J698="Biznis",$J698="Švédsky biznis"),"ÁNO","")</f>
        <v/>
      </c>
      <c r="N698" s="2"/>
      <c r="O698" s="3"/>
      <c r="Q698"/>
      <c r="R698" s="3"/>
      <c r="S698" s="3"/>
      <c r="T698"/>
      <c r="U698"/>
      <c r="V698"/>
      <c r="W698"/>
      <c r="Z698"/>
      <c r="AA698"/>
      <c r="AD698"/>
    </row>
    <row r="699" spans="11:30" ht="18" customHeight="1">
      <c r="K699" t="str">
        <f>IF(OR($I699="Čaká na integráciu",$J699="Integrácia"),"ÁNO","")</f>
        <v/>
      </c>
      <c r="L699" t="str">
        <f>IF(OR($I699="Čaká na biznis",$J699="Biznis",$J699="Švédsky biznis"),"ÁNO","")</f>
        <v/>
      </c>
      <c r="N699" s="2"/>
      <c r="O699" s="3"/>
      <c r="Q699"/>
      <c r="R699" s="3"/>
      <c r="S699" s="3"/>
      <c r="T699"/>
      <c r="U699"/>
      <c r="V699"/>
      <c r="W699"/>
      <c r="Z699"/>
      <c r="AA699"/>
      <c r="AD699"/>
    </row>
    <row r="700" spans="11:30" ht="18" customHeight="1">
      <c r="K700" t="str">
        <f>IF(OR($I700="Čaká na integráciu",$J700="Integrácia"),"ÁNO","")</f>
        <v/>
      </c>
      <c r="L700" t="str">
        <f>IF(OR($I700="Čaká na biznis",$J700="Biznis",$J700="Švédsky biznis"),"ÁNO","")</f>
        <v/>
      </c>
      <c r="N700" s="2"/>
      <c r="O700" s="3"/>
      <c r="Q700"/>
      <c r="R700" s="3"/>
      <c r="S700" s="3"/>
      <c r="T700"/>
      <c r="U700"/>
      <c r="V700"/>
      <c r="W700"/>
      <c r="Z700"/>
      <c r="AA700"/>
      <c r="AD700"/>
    </row>
    <row r="701" spans="11:30" ht="18" customHeight="1">
      <c r="K701" t="str">
        <f>IF(OR($I701="Čaká na integráciu",$J701="Integrácia"),"ÁNO","")</f>
        <v/>
      </c>
      <c r="L701" t="str">
        <f>IF(OR($I701="Čaká na biznis",$J701="Biznis",$J701="Švédsky biznis"),"ÁNO","")</f>
        <v/>
      </c>
      <c r="N701" s="2"/>
      <c r="O701" s="3"/>
      <c r="Q701"/>
      <c r="R701" s="3"/>
      <c r="S701" s="3"/>
      <c r="T701"/>
      <c r="U701"/>
      <c r="V701"/>
      <c r="W701"/>
      <c r="Z701"/>
      <c r="AA701"/>
      <c r="AD701"/>
    </row>
    <row r="702" spans="11:30" ht="18" customHeight="1">
      <c r="K702" t="str">
        <f>IF(OR($I702="Čaká na integráciu",$J702="Integrácia"),"ÁNO","")</f>
        <v/>
      </c>
      <c r="L702" t="str">
        <f>IF(OR($I702="Čaká na biznis",$J702="Biznis",$J702="Švédsky biznis"),"ÁNO","")</f>
        <v/>
      </c>
      <c r="N702" s="2"/>
      <c r="O702" s="3"/>
      <c r="Q702"/>
      <c r="R702" s="3"/>
      <c r="S702" s="3"/>
      <c r="T702"/>
      <c r="U702"/>
      <c r="V702"/>
      <c r="W702"/>
      <c r="Z702"/>
      <c r="AA702"/>
      <c r="AD702"/>
    </row>
    <row r="703" spans="11:30" ht="18" customHeight="1">
      <c r="K703" t="str">
        <f>IF(OR($I703="Čaká na integráciu",$J703="Integrácia"),"ÁNO","")</f>
        <v/>
      </c>
      <c r="L703" t="str">
        <f>IF(OR($I703="Čaká na biznis",$J703="Biznis",$J703="Švédsky biznis"),"ÁNO","")</f>
        <v/>
      </c>
      <c r="N703" s="2"/>
      <c r="O703" s="3"/>
      <c r="Q703"/>
      <c r="R703" s="3"/>
      <c r="S703" s="3"/>
      <c r="T703"/>
      <c r="U703"/>
      <c r="V703"/>
      <c r="W703"/>
      <c r="Z703"/>
      <c r="AA703"/>
      <c r="AD703"/>
    </row>
    <row r="704" spans="11:30" ht="18" customHeight="1">
      <c r="K704" t="str">
        <f>IF(OR($I704="Čaká na integráciu",$J704="Integrácia"),"ÁNO","")</f>
        <v/>
      </c>
      <c r="L704" t="str">
        <f>IF(OR($I704="Čaká na biznis",$J704="Biznis",$J704="Švédsky biznis"),"ÁNO","")</f>
        <v/>
      </c>
      <c r="N704" s="2"/>
      <c r="O704" s="3"/>
      <c r="Q704"/>
      <c r="R704" s="3"/>
      <c r="S704" s="3"/>
      <c r="T704"/>
      <c r="U704"/>
      <c r="V704"/>
      <c r="W704"/>
      <c r="Z704"/>
      <c r="AA704"/>
      <c r="AD704"/>
    </row>
    <row r="705" spans="11:30" ht="18" customHeight="1">
      <c r="K705" t="str">
        <f>IF(OR($I705="Čaká na integráciu",$J705="Integrácia"),"ÁNO","")</f>
        <v/>
      </c>
      <c r="L705" t="str">
        <f>IF(OR($I705="Čaká na biznis",$J705="Biznis",$J705="Švédsky biznis"),"ÁNO","")</f>
        <v/>
      </c>
      <c r="N705" s="2"/>
      <c r="O705" s="3"/>
      <c r="Q705"/>
      <c r="R705" s="3"/>
      <c r="S705" s="3"/>
      <c r="T705"/>
      <c r="U705"/>
      <c r="V705"/>
      <c r="W705"/>
      <c r="Z705"/>
      <c r="AA705"/>
      <c r="AD705"/>
    </row>
    <row r="706" spans="11:30" ht="18" customHeight="1">
      <c r="K706" t="str">
        <f>IF(OR($I706="Čaká na integráciu",$J706="Integrácia"),"ÁNO","")</f>
        <v/>
      </c>
      <c r="L706" t="str">
        <f>IF(OR($I706="Čaká na biznis",$J706="Biznis",$J706="Švédsky biznis"),"ÁNO","")</f>
        <v/>
      </c>
      <c r="N706" s="2"/>
      <c r="O706" s="3"/>
      <c r="Q706"/>
      <c r="R706" s="3"/>
      <c r="S706" s="3"/>
      <c r="T706"/>
      <c r="U706"/>
      <c r="V706"/>
      <c r="W706"/>
      <c r="Z706"/>
      <c r="AA706"/>
      <c r="AD706"/>
    </row>
    <row r="707" spans="11:30" ht="18" customHeight="1">
      <c r="K707" t="str">
        <f>IF(OR($I707="Čaká na integráciu",$J707="Integrácia"),"ÁNO","")</f>
        <v/>
      </c>
      <c r="L707" t="str">
        <f>IF(OR($I707="Čaká na biznis",$J707="Biznis",$J707="Švédsky biznis"),"ÁNO","")</f>
        <v/>
      </c>
      <c r="N707" s="2"/>
      <c r="O707" s="3"/>
      <c r="Q707"/>
      <c r="R707" s="3"/>
      <c r="S707" s="3"/>
      <c r="T707"/>
      <c r="U707"/>
      <c r="V707"/>
      <c r="W707"/>
      <c r="Z707"/>
      <c r="AA707"/>
      <c r="AD707"/>
    </row>
    <row r="708" spans="11:30" ht="18" customHeight="1">
      <c r="K708" t="str">
        <f>IF(OR($I708="Čaká na integráciu",$J708="Integrácia"),"ÁNO","")</f>
        <v/>
      </c>
      <c r="L708" t="str">
        <f>IF(OR($I708="Čaká na biznis",$J708="Biznis",$J708="Švédsky biznis"),"ÁNO","")</f>
        <v/>
      </c>
      <c r="N708" s="2"/>
      <c r="O708" s="3"/>
      <c r="Q708"/>
      <c r="R708" s="3"/>
      <c r="S708" s="3"/>
      <c r="T708"/>
      <c r="U708"/>
      <c r="V708"/>
      <c r="W708"/>
      <c r="Z708"/>
      <c r="AA708"/>
      <c r="AD708"/>
    </row>
    <row r="709" spans="11:30" ht="18" customHeight="1">
      <c r="K709" t="str">
        <f>IF(OR($I709="Čaká na integráciu",$J709="Integrácia"),"ÁNO","")</f>
        <v/>
      </c>
      <c r="L709" t="str">
        <f>IF(OR($I709="Čaká na biznis",$J709="Biznis",$J709="Švédsky biznis"),"ÁNO","")</f>
        <v/>
      </c>
      <c r="N709" s="2"/>
      <c r="O709" s="3"/>
      <c r="Q709"/>
      <c r="R709" s="3"/>
      <c r="S709" s="3"/>
      <c r="T709"/>
      <c r="U709"/>
      <c r="V709"/>
      <c r="W709"/>
      <c r="Z709"/>
      <c r="AA709"/>
      <c r="AD709"/>
    </row>
    <row r="710" spans="11:30" ht="18" customHeight="1">
      <c r="K710" t="str">
        <f>IF(OR($I710="Čaká na integráciu",$J710="Integrácia"),"ÁNO","")</f>
        <v/>
      </c>
      <c r="L710" t="str">
        <f>IF(OR($I710="Čaká na biznis",$J710="Biznis",$J710="Švédsky biznis"),"ÁNO","")</f>
        <v/>
      </c>
      <c r="N710" s="2"/>
      <c r="O710" s="3"/>
      <c r="Q710"/>
      <c r="R710" s="3"/>
      <c r="S710" s="3"/>
      <c r="T710"/>
      <c r="U710"/>
      <c r="V710"/>
      <c r="W710"/>
      <c r="Z710"/>
      <c r="AA710"/>
      <c r="AD710"/>
    </row>
    <row r="711" spans="11:30" ht="18" customHeight="1">
      <c r="K711" t="str">
        <f>IF(OR($I711="Čaká na integráciu",$J711="Integrácia"),"ÁNO","")</f>
        <v/>
      </c>
      <c r="L711" t="str">
        <f>IF(OR($I711="Čaká na biznis",$J711="Biznis",$J711="Švédsky biznis"),"ÁNO","")</f>
        <v/>
      </c>
      <c r="N711" s="2"/>
      <c r="O711" s="3"/>
      <c r="Q711"/>
      <c r="R711" s="3"/>
      <c r="S711" s="3"/>
      <c r="T711"/>
      <c r="U711"/>
      <c r="V711"/>
      <c r="W711"/>
      <c r="Z711"/>
      <c r="AA711"/>
      <c r="AD711"/>
    </row>
    <row r="712" spans="11:30" ht="18" customHeight="1">
      <c r="K712" t="str">
        <f>IF(OR($I712="Čaká na integráciu",$J712="Integrácia"),"ÁNO","")</f>
        <v/>
      </c>
      <c r="L712" t="str">
        <f>IF(OR($I712="Čaká na biznis",$J712="Biznis",$J712="Švédsky biznis"),"ÁNO","")</f>
        <v/>
      </c>
      <c r="N712" s="2"/>
      <c r="O712" s="3"/>
      <c r="Q712"/>
      <c r="R712" s="3"/>
      <c r="S712" s="3"/>
      <c r="T712"/>
      <c r="U712"/>
      <c r="V712"/>
      <c r="W712"/>
      <c r="Z712"/>
      <c r="AA712"/>
      <c r="AD712"/>
    </row>
    <row r="713" spans="11:30" ht="18" customHeight="1">
      <c r="K713" t="str">
        <f>IF(OR($I713="Čaká na integráciu",$J713="Integrácia"),"ÁNO","")</f>
        <v/>
      </c>
      <c r="L713" t="str">
        <f>IF(OR($I713="Čaká na biznis",$J713="Biznis",$J713="Švédsky biznis"),"ÁNO","")</f>
        <v/>
      </c>
      <c r="N713" s="2"/>
      <c r="O713" s="3"/>
      <c r="Q713"/>
      <c r="R713" s="3"/>
      <c r="S713" s="3"/>
      <c r="T713"/>
      <c r="U713"/>
      <c r="V713"/>
      <c r="W713"/>
      <c r="Z713"/>
      <c r="AA713"/>
      <c r="AD713"/>
    </row>
    <row r="714" spans="11:30" ht="18" customHeight="1">
      <c r="K714" t="str">
        <f>IF(OR($I714="Čaká na integráciu",$J714="Integrácia"),"ÁNO","")</f>
        <v/>
      </c>
      <c r="L714" t="str">
        <f>IF(OR($I714="Čaká na biznis",$J714="Biznis",$J714="Švédsky biznis"),"ÁNO","")</f>
        <v/>
      </c>
      <c r="N714" s="2"/>
      <c r="O714" s="3"/>
      <c r="Q714"/>
      <c r="R714" s="3"/>
      <c r="S714" s="3"/>
      <c r="T714"/>
      <c r="U714"/>
      <c r="V714"/>
      <c r="W714"/>
      <c r="Z714"/>
      <c r="AA714"/>
      <c r="AD714"/>
    </row>
    <row r="715" spans="11:30" ht="18" customHeight="1">
      <c r="K715" t="str">
        <f>IF(OR($I715="Čaká na integráciu",$J715="Integrácia"),"ÁNO","")</f>
        <v/>
      </c>
      <c r="L715" t="str">
        <f>IF(OR($I715="Čaká na biznis",$J715="Biznis",$J715="Švédsky biznis"),"ÁNO","")</f>
        <v/>
      </c>
      <c r="N715" s="2"/>
      <c r="O715" s="3"/>
      <c r="Q715"/>
      <c r="R715" s="3"/>
      <c r="S715" s="3"/>
      <c r="T715"/>
      <c r="U715"/>
      <c r="V715"/>
      <c r="W715"/>
      <c r="Z715"/>
      <c r="AA715"/>
      <c r="AD715"/>
    </row>
    <row r="716" spans="11:30" ht="18" customHeight="1">
      <c r="K716" t="str">
        <f>IF(OR($I716="Čaká na integráciu",$J716="Integrácia"),"ÁNO","")</f>
        <v/>
      </c>
      <c r="L716" t="str">
        <f>IF(OR($I716="Čaká na biznis",$J716="Biznis",$J716="Švédsky biznis"),"ÁNO","")</f>
        <v/>
      </c>
      <c r="N716" s="2"/>
      <c r="O716" s="3"/>
      <c r="Q716"/>
      <c r="R716" s="3"/>
      <c r="S716" s="3"/>
      <c r="T716"/>
      <c r="U716"/>
      <c r="V716"/>
      <c r="W716"/>
      <c r="Z716"/>
      <c r="AA716"/>
      <c r="AD716"/>
    </row>
    <row r="717" spans="11:30" ht="18" customHeight="1">
      <c r="K717" t="str">
        <f>IF(OR($I717="Čaká na integráciu",$J717="Integrácia"),"ÁNO","")</f>
        <v/>
      </c>
      <c r="L717" t="str">
        <f>IF(OR($I717="Čaká na biznis",$J717="Biznis",$J717="Švédsky biznis"),"ÁNO","")</f>
        <v/>
      </c>
      <c r="N717" s="2"/>
      <c r="O717" s="3"/>
      <c r="Q717"/>
      <c r="R717" s="3"/>
      <c r="S717" s="3"/>
      <c r="T717"/>
      <c r="U717"/>
      <c r="V717"/>
      <c r="W717"/>
      <c r="Z717"/>
      <c r="AA717"/>
      <c r="AD717"/>
    </row>
    <row r="718" spans="11:30" ht="18" customHeight="1">
      <c r="K718" t="str">
        <f>IF(OR($I718="Čaká na integráciu",$J718="Integrácia"),"ÁNO","")</f>
        <v/>
      </c>
      <c r="L718" t="str">
        <f>IF(OR($I718="Čaká na biznis",$J718="Biznis",$J718="Švédsky biznis"),"ÁNO","")</f>
        <v/>
      </c>
      <c r="N718" s="2"/>
      <c r="O718" s="3"/>
      <c r="Q718"/>
      <c r="R718" s="3"/>
      <c r="S718" s="3"/>
      <c r="T718"/>
      <c r="U718"/>
      <c r="V718"/>
      <c r="W718"/>
      <c r="Z718"/>
      <c r="AA718"/>
      <c r="AD718"/>
    </row>
    <row r="719" spans="11:30" ht="18" customHeight="1">
      <c r="K719" t="str">
        <f>IF(OR($I719="Čaká na integráciu",$J719="Integrácia"),"ÁNO","")</f>
        <v/>
      </c>
      <c r="L719" t="str">
        <f>IF(OR($I719="Čaká na biznis",$J719="Biznis",$J719="Švédsky biznis"),"ÁNO","")</f>
        <v/>
      </c>
      <c r="N719" s="2"/>
      <c r="O719" s="3"/>
      <c r="Q719"/>
      <c r="R719" s="3"/>
      <c r="S719" s="3"/>
      <c r="T719"/>
      <c r="U719"/>
      <c r="V719"/>
      <c r="W719"/>
      <c r="Z719"/>
      <c r="AA719"/>
      <c r="AD719"/>
    </row>
    <row r="720" spans="11:30" ht="18" customHeight="1">
      <c r="K720" t="str">
        <f>IF(OR($I720="Čaká na integráciu",$J720="Integrácia"),"ÁNO","")</f>
        <v/>
      </c>
      <c r="L720" t="str">
        <f>IF(OR($I720="Čaká na biznis",$J720="Biznis",$J720="Švédsky biznis"),"ÁNO","")</f>
        <v/>
      </c>
      <c r="N720" s="2"/>
      <c r="O720" s="3"/>
      <c r="Q720"/>
      <c r="R720" s="3"/>
      <c r="S720" s="3"/>
      <c r="T720"/>
      <c r="U720"/>
      <c r="V720"/>
      <c r="W720"/>
      <c r="Z720"/>
      <c r="AA720"/>
      <c r="AD720"/>
    </row>
    <row r="721" spans="11:30" ht="18" customHeight="1">
      <c r="K721" t="str">
        <f>IF(OR($I721="Čaká na integráciu",$J721="Integrácia"),"ÁNO","")</f>
        <v/>
      </c>
      <c r="L721" t="str">
        <f>IF(OR($I721="Čaká na biznis",$J721="Biznis",$J721="Švédsky biznis"),"ÁNO","")</f>
        <v/>
      </c>
      <c r="N721" s="2"/>
      <c r="O721" s="3"/>
      <c r="Q721"/>
      <c r="R721" s="3"/>
      <c r="S721" s="3"/>
      <c r="T721"/>
      <c r="U721"/>
      <c r="V721"/>
      <c r="W721"/>
      <c r="Z721"/>
      <c r="AA721"/>
      <c r="AD721"/>
    </row>
    <row r="722" spans="11:30" ht="18" customHeight="1">
      <c r="K722" t="str">
        <f>IF(OR($I722="Čaká na integráciu",$J722="Integrácia"),"ÁNO","")</f>
        <v/>
      </c>
      <c r="L722" t="str">
        <f>IF(OR($I722="Čaká na biznis",$J722="Biznis",$J722="Švédsky biznis"),"ÁNO","")</f>
        <v/>
      </c>
      <c r="N722" s="2"/>
      <c r="O722" s="3"/>
      <c r="Q722"/>
      <c r="R722" s="3"/>
      <c r="S722" s="3"/>
      <c r="T722"/>
      <c r="U722"/>
      <c r="V722"/>
      <c r="W722"/>
      <c r="Z722"/>
      <c r="AA722"/>
      <c r="AD722"/>
    </row>
    <row r="723" spans="11:30" ht="18" customHeight="1">
      <c r="K723" t="str">
        <f>IF(OR($I723="Čaká na integráciu",$J723="Integrácia"),"ÁNO","")</f>
        <v/>
      </c>
      <c r="L723" t="str">
        <f>IF(OR($I723="Čaká na biznis",$J723="Biznis",$J723="Švédsky biznis"),"ÁNO","")</f>
        <v/>
      </c>
      <c r="N723" s="2"/>
      <c r="O723" s="3"/>
      <c r="Q723"/>
      <c r="R723" s="3"/>
      <c r="S723" s="3"/>
      <c r="T723"/>
      <c r="U723"/>
      <c r="V723"/>
      <c r="W723"/>
      <c r="Z723"/>
      <c r="AA723"/>
      <c r="AD723"/>
    </row>
    <row r="724" spans="11:30" ht="18" customHeight="1">
      <c r="K724" t="str">
        <f>IF(OR($I724="Čaká na integráciu",$J724="Integrácia"),"ÁNO","")</f>
        <v/>
      </c>
      <c r="L724" t="str">
        <f>IF(OR($I724="Čaká na biznis",$J724="Biznis",$J724="Švédsky biznis"),"ÁNO","")</f>
        <v/>
      </c>
      <c r="N724" s="2"/>
      <c r="O724" s="3"/>
      <c r="Q724"/>
      <c r="R724" s="3"/>
      <c r="S724" s="3"/>
      <c r="T724"/>
      <c r="U724"/>
      <c r="V724"/>
      <c r="W724"/>
      <c r="Z724"/>
      <c r="AA724"/>
      <c r="AD724"/>
    </row>
    <row r="725" spans="11:30" ht="18" customHeight="1">
      <c r="K725" t="str">
        <f>IF(OR($I725="Čaká na integráciu",$J725="Integrácia"),"ÁNO","")</f>
        <v/>
      </c>
      <c r="L725" t="str">
        <f>IF(OR($I725="Čaká na biznis",$J725="Biznis",$J725="Švédsky biznis"),"ÁNO","")</f>
        <v/>
      </c>
      <c r="N725" s="2"/>
      <c r="O725" s="3"/>
      <c r="Q725"/>
      <c r="R725" s="3"/>
      <c r="S725" s="3"/>
      <c r="T725"/>
      <c r="U725"/>
      <c r="V725"/>
      <c r="W725"/>
      <c r="Z725"/>
      <c r="AA725"/>
      <c r="AD725"/>
    </row>
    <row r="726" spans="11:30" ht="18" customHeight="1">
      <c r="K726" t="str">
        <f>IF(OR($I726="Čaká na integráciu",$J726="Integrácia"),"ÁNO","")</f>
        <v/>
      </c>
      <c r="L726" t="str">
        <f>IF(OR($I726="Čaká na biznis",$J726="Biznis",$J726="Švédsky biznis"),"ÁNO","")</f>
        <v/>
      </c>
      <c r="N726" s="2"/>
      <c r="O726" s="3"/>
      <c r="Q726"/>
      <c r="R726" s="3"/>
      <c r="S726" s="3"/>
      <c r="T726"/>
      <c r="U726"/>
      <c r="V726"/>
      <c r="W726"/>
      <c r="Z726"/>
      <c r="AA726"/>
      <c r="AD726"/>
    </row>
    <row r="727" spans="11:30" ht="18" customHeight="1">
      <c r="K727" t="str">
        <f>IF(OR($I727="Čaká na integráciu",$J727="Integrácia"),"ÁNO","")</f>
        <v/>
      </c>
      <c r="L727" t="str">
        <f>IF(OR($I727="Čaká na biznis",$J727="Biznis",$J727="Švédsky biznis"),"ÁNO","")</f>
        <v/>
      </c>
      <c r="N727" s="2"/>
      <c r="O727" s="3"/>
      <c r="Q727"/>
      <c r="R727" s="3"/>
      <c r="S727" s="3"/>
      <c r="T727"/>
      <c r="U727"/>
      <c r="V727"/>
      <c r="W727"/>
      <c r="Z727"/>
      <c r="AA727"/>
      <c r="AD727"/>
    </row>
    <row r="728" spans="11:30" ht="18" customHeight="1">
      <c r="K728" t="str">
        <f>IF(OR($I728="Čaká na integráciu",$J728="Integrácia"),"ÁNO","")</f>
        <v/>
      </c>
      <c r="L728" t="str">
        <f>IF(OR($I728="Čaká na biznis",$J728="Biznis",$J728="Švédsky biznis"),"ÁNO","")</f>
        <v/>
      </c>
      <c r="N728" s="2"/>
      <c r="O728" s="3"/>
      <c r="Q728"/>
      <c r="R728" s="3"/>
      <c r="S728" s="3"/>
      <c r="T728"/>
      <c r="U728"/>
      <c r="V728"/>
      <c r="W728"/>
      <c r="Z728"/>
      <c r="AA728"/>
      <c r="AD728"/>
    </row>
    <row r="729" spans="11:30" ht="18" customHeight="1">
      <c r="K729" t="str">
        <f>IF(OR($I729="Čaká na integráciu",$J729="Integrácia"),"ÁNO","")</f>
        <v/>
      </c>
      <c r="L729" t="str">
        <f>IF(OR($I729="Čaká na biznis",$J729="Biznis",$J729="Švédsky biznis"),"ÁNO","")</f>
        <v/>
      </c>
      <c r="N729" s="2"/>
      <c r="O729" s="3"/>
      <c r="Q729"/>
      <c r="R729" s="3"/>
      <c r="S729" s="3"/>
      <c r="T729"/>
      <c r="U729"/>
      <c r="V729"/>
      <c r="W729"/>
      <c r="Z729"/>
      <c r="AA729"/>
      <c r="AD729"/>
    </row>
    <row r="730" spans="11:30" ht="18" customHeight="1">
      <c r="K730" t="str">
        <f>IF(OR($I730="Čaká na integráciu",$J730="Integrácia"),"ÁNO","")</f>
        <v/>
      </c>
      <c r="L730" t="str">
        <f>IF(OR($I730="Čaká na biznis",$J730="Biznis",$J730="Švédsky biznis"),"ÁNO","")</f>
        <v/>
      </c>
      <c r="N730" s="2"/>
      <c r="O730" s="3"/>
      <c r="Q730"/>
      <c r="R730" s="3"/>
      <c r="S730" s="3"/>
      <c r="T730"/>
      <c r="U730"/>
      <c r="V730"/>
      <c r="W730"/>
      <c r="Z730"/>
      <c r="AA730"/>
      <c r="AD730"/>
    </row>
    <row r="731" spans="11:30" ht="18" customHeight="1">
      <c r="K731" t="str">
        <f>IF(OR($I731="Čaká na integráciu",$J731="Integrácia"),"ÁNO","")</f>
        <v/>
      </c>
      <c r="L731" t="str">
        <f>IF(OR($I731="Čaká na biznis",$J731="Biznis",$J731="Švédsky biznis"),"ÁNO","")</f>
        <v/>
      </c>
      <c r="N731" s="2"/>
      <c r="O731" s="3"/>
      <c r="Q731"/>
      <c r="R731" s="3"/>
      <c r="S731" s="3"/>
      <c r="T731"/>
      <c r="U731"/>
      <c r="V731"/>
      <c r="W731"/>
      <c r="Z731"/>
      <c r="AA731"/>
      <c r="AD731"/>
    </row>
    <row r="732" spans="11:30" ht="18" customHeight="1">
      <c r="K732" t="str">
        <f>IF(OR($I732="Čaká na integráciu",$J732="Integrácia"),"ÁNO","")</f>
        <v/>
      </c>
      <c r="L732" t="str">
        <f>IF(OR($I732="Čaká na biznis",$J732="Biznis",$J732="Švédsky biznis"),"ÁNO","")</f>
        <v/>
      </c>
      <c r="N732" s="2"/>
      <c r="O732" s="3"/>
      <c r="Q732"/>
      <c r="R732" s="3"/>
      <c r="S732" s="3"/>
      <c r="T732"/>
      <c r="U732"/>
      <c r="V732"/>
      <c r="W732"/>
      <c r="Z732"/>
      <c r="AA732"/>
      <c r="AD732"/>
    </row>
    <row r="733" spans="11:30" ht="18" customHeight="1">
      <c r="K733" t="str">
        <f>IF(OR($I733="Čaká na integráciu",$J733="Integrácia"),"ÁNO","")</f>
        <v/>
      </c>
      <c r="L733" t="str">
        <f>IF(OR($I733="Čaká na biznis",$J733="Biznis",$J733="Švédsky biznis"),"ÁNO","")</f>
        <v/>
      </c>
      <c r="N733" s="2"/>
      <c r="O733" s="3"/>
      <c r="Q733"/>
      <c r="R733" s="3"/>
      <c r="S733" s="3"/>
      <c r="T733"/>
      <c r="U733"/>
      <c r="V733"/>
      <c r="W733"/>
      <c r="Z733"/>
      <c r="AA733"/>
      <c r="AD733"/>
    </row>
    <row r="734" spans="11:30" ht="18" customHeight="1">
      <c r="K734" t="str">
        <f>IF(OR($I734="Čaká na integráciu",$J734="Integrácia"),"ÁNO","")</f>
        <v/>
      </c>
      <c r="L734" t="str">
        <f>IF(OR($I734="Čaká na biznis",$J734="Biznis",$J734="Švédsky biznis"),"ÁNO","")</f>
        <v/>
      </c>
      <c r="N734" s="2"/>
      <c r="O734" s="3"/>
      <c r="Q734"/>
      <c r="R734" s="3"/>
      <c r="S734" s="3"/>
      <c r="T734"/>
      <c r="U734"/>
      <c r="V734"/>
      <c r="W734"/>
      <c r="Z734"/>
      <c r="AA734"/>
      <c r="AD734"/>
    </row>
    <row r="735" spans="11:30" ht="18" customHeight="1">
      <c r="K735" t="str">
        <f>IF(OR($I735="Čaká na integráciu",$J735="Integrácia"),"ÁNO","")</f>
        <v/>
      </c>
      <c r="L735" t="str">
        <f>IF(OR($I735="Čaká na biznis",$J735="Biznis",$J735="Švédsky biznis"),"ÁNO","")</f>
        <v/>
      </c>
      <c r="N735" s="2"/>
      <c r="O735" s="3"/>
      <c r="Q735"/>
      <c r="R735" s="3"/>
      <c r="S735" s="3"/>
      <c r="T735"/>
      <c r="U735"/>
      <c r="V735"/>
      <c r="W735"/>
      <c r="Z735"/>
      <c r="AA735"/>
      <c r="AD735"/>
    </row>
    <row r="736" spans="11:30" ht="18" customHeight="1">
      <c r="K736" t="str">
        <f>IF(OR($I736="Čaká na integráciu",$J736="Integrácia"),"ÁNO","")</f>
        <v/>
      </c>
      <c r="L736" t="str">
        <f>IF(OR($I736="Čaká na biznis",$J736="Biznis",$J736="Švédsky biznis"),"ÁNO","")</f>
        <v/>
      </c>
      <c r="N736" s="2"/>
      <c r="O736" s="3"/>
      <c r="Q736"/>
      <c r="R736" s="3"/>
      <c r="S736" s="3"/>
      <c r="T736"/>
      <c r="U736"/>
      <c r="V736"/>
      <c r="W736"/>
      <c r="Z736"/>
      <c r="AA736"/>
      <c r="AD736"/>
    </row>
    <row r="737" spans="11:30" ht="18" customHeight="1">
      <c r="K737" t="str">
        <f>IF(OR($I737="Čaká na integráciu",$J737="Integrácia"),"ÁNO","")</f>
        <v/>
      </c>
      <c r="L737" t="str">
        <f>IF(OR($I737="Čaká na biznis",$J737="Biznis",$J737="Švédsky biznis"),"ÁNO","")</f>
        <v/>
      </c>
      <c r="N737" s="2"/>
      <c r="O737" s="3"/>
      <c r="Q737"/>
      <c r="R737" s="3"/>
      <c r="S737" s="3"/>
      <c r="T737"/>
      <c r="U737"/>
      <c r="V737"/>
      <c r="W737"/>
      <c r="Z737"/>
      <c r="AA737"/>
      <c r="AD737"/>
    </row>
    <row r="738" spans="11:30" ht="18" customHeight="1">
      <c r="K738" t="str">
        <f>IF(OR($I738="Čaká na integráciu",$J738="Integrácia"),"ÁNO","")</f>
        <v/>
      </c>
      <c r="L738" t="str">
        <f>IF(OR($I738="Čaká na biznis",$J738="Biznis",$J738="Švédsky biznis"),"ÁNO","")</f>
        <v/>
      </c>
      <c r="N738" s="2"/>
      <c r="O738" s="3"/>
      <c r="Q738"/>
      <c r="R738" s="3"/>
      <c r="S738" s="3"/>
      <c r="T738"/>
      <c r="U738"/>
      <c r="V738"/>
      <c r="W738"/>
      <c r="Z738"/>
      <c r="AA738"/>
      <c r="AD738"/>
    </row>
    <row r="739" spans="11:30" ht="18" customHeight="1">
      <c r="K739" t="str">
        <f>IF(OR($I739="Čaká na integráciu",$J739="Integrácia"),"ÁNO","")</f>
        <v/>
      </c>
      <c r="L739" t="str">
        <f>IF(OR($I739="Čaká na biznis",$J739="Biznis",$J739="Švédsky biznis"),"ÁNO","")</f>
        <v/>
      </c>
      <c r="N739" s="2"/>
      <c r="O739" s="3"/>
      <c r="Q739"/>
      <c r="R739" s="3"/>
      <c r="S739" s="3"/>
      <c r="T739"/>
      <c r="U739"/>
      <c r="V739"/>
      <c r="W739"/>
      <c r="Z739"/>
      <c r="AA739"/>
      <c r="AD739"/>
    </row>
    <row r="740" spans="11:30" ht="18" customHeight="1">
      <c r="K740" t="str">
        <f>IF(OR($I740="Čaká na integráciu",$J740="Integrácia"),"ÁNO","")</f>
        <v/>
      </c>
      <c r="L740" t="str">
        <f>IF(OR($I740="Čaká na biznis",$J740="Biznis",$J740="Švédsky biznis"),"ÁNO","")</f>
        <v/>
      </c>
      <c r="N740" s="2"/>
      <c r="O740" s="3"/>
      <c r="Q740"/>
      <c r="R740" s="3"/>
      <c r="S740" s="3"/>
      <c r="T740"/>
      <c r="U740"/>
      <c r="V740"/>
      <c r="W740"/>
      <c r="Z740"/>
      <c r="AA740"/>
      <c r="AD740"/>
    </row>
    <row r="741" spans="11:30" ht="18" customHeight="1">
      <c r="K741" t="str">
        <f>IF(OR($I741="Čaká na integráciu",$J741="Integrácia"),"ÁNO","")</f>
        <v/>
      </c>
      <c r="L741" t="str">
        <f>IF(OR($I741="Čaká na biznis",$J741="Biznis",$J741="Švédsky biznis"),"ÁNO","")</f>
        <v/>
      </c>
      <c r="N741" s="2"/>
      <c r="O741" s="3"/>
      <c r="Q741"/>
      <c r="R741" s="3"/>
      <c r="S741" s="3"/>
      <c r="T741"/>
      <c r="U741"/>
      <c r="V741"/>
      <c r="W741"/>
      <c r="Z741"/>
      <c r="AA741"/>
      <c r="AD741"/>
    </row>
    <row r="742" spans="11:30" ht="18" customHeight="1">
      <c r="K742" t="str">
        <f>IF(OR($I742="Čaká na integráciu",$J742="Integrácia"),"ÁNO","")</f>
        <v/>
      </c>
      <c r="L742" t="str">
        <f>IF(OR($I742="Čaká na biznis",$J742="Biznis",$J742="Švédsky biznis"),"ÁNO","")</f>
        <v/>
      </c>
      <c r="N742" s="2"/>
      <c r="O742" s="3"/>
      <c r="Q742"/>
      <c r="R742" s="3"/>
      <c r="S742" s="3"/>
      <c r="T742"/>
      <c r="U742"/>
      <c r="V742"/>
      <c r="W742"/>
      <c r="Z742"/>
      <c r="AA742"/>
      <c r="AD742"/>
    </row>
    <row r="743" spans="11:30" ht="18" customHeight="1">
      <c r="K743" t="str">
        <f>IF(OR($I743="Čaká na integráciu",$J743="Integrácia"),"ÁNO","")</f>
        <v/>
      </c>
      <c r="L743" t="str">
        <f>IF(OR($I743="Čaká na biznis",$J743="Biznis",$J743="Švédsky biznis"),"ÁNO","")</f>
        <v/>
      </c>
      <c r="N743" s="2"/>
      <c r="O743" s="3"/>
      <c r="Q743"/>
      <c r="R743" s="3"/>
      <c r="S743" s="3"/>
      <c r="T743"/>
      <c r="U743"/>
      <c r="V743"/>
      <c r="W743"/>
      <c r="Z743"/>
      <c r="AA743"/>
      <c r="AD743"/>
    </row>
    <row r="744" spans="11:30" ht="18" customHeight="1">
      <c r="K744" t="str">
        <f>IF(OR($I744="Čaká na integráciu",$J744="Integrácia"),"ÁNO","")</f>
        <v/>
      </c>
      <c r="L744" t="str">
        <f>IF(OR($I744="Čaká na biznis",$J744="Biznis",$J744="Švédsky biznis"),"ÁNO","")</f>
        <v/>
      </c>
      <c r="N744" s="2"/>
      <c r="O744" s="3"/>
      <c r="Q744"/>
      <c r="R744" s="3"/>
      <c r="S744" s="3"/>
      <c r="T744"/>
      <c r="U744"/>
      <c r="V744"/>
      <c r="W744"/>
      <c r="Z744"/>
      <c r="AA744"/>
      <c r="AD744"/>
    </row>
    <row r="745" spans="11:30" ht="18" customHeight="1">
      <c r="K745" t="str">
        <f>IF(OR($I745="Čaká na integráciu",$J745="Integrácia"),"ÁNO","")</f>
        <v/>
      </c>
      <c r="L745" t="str">
        <f>IF(OR($I745="Čaká na biznis",$J745="Biznis",$J745="Švédsky biznis"),"ÁNO","")</f>
        <v/>
      </c>
      <c r="N745" s="2"/>
      <c r="O745" s="3"/>
      <c r="Q745"/>
      <c r="R745" s="3"/>
      <c r="S745" s="3"/>
      <c r="T745"/>
      <c r="U745"/>
      <c r="V745"/>
      <c r="W745"/>
      <c r="Z745"/>
      <c r="AA745"/>
      <c r="AD745"/>
    </row>
    <row r="746" spans="11:30" ht="18" customHeight="1">
      <c r="K746" t="str">
        <f>IF(OR($I746="Čaká na integráciu",$J746="Integrácia"),"ÁNO","")</f>
        <v/>
      </c>
      <c r="L746" t="str">
        <f>IF(OR($I746="Čaká na biznis",$J746="Biznis",$J746="Švédsky biznis"),"ÁNO","")</f>
        <v/>
      </c>
      <c r="N746" s="2"/>
      <c r="O746" s="3"/>
      <c r="Q746"/>
      <c r="R746" s="3"/>
      <c r="S746" s="3"/>
      <c r="T746"/>
      <c r="U746"/>
      <c r="V746"/>
      <c r="W746"/>
      <c r="Z746"/>
      <c r="AA746"/>
      <c r="AD746"/>
    </row>
    <row r="747" spans="11:30" ht="18" customHeight="1">
      <c r="K747" t="str">
        <f>IF(OR($I747="Čaká na integráciu",$J747="Integrácia"),"ÁNO","")</f>
        <v/>
      </c>
      <c r="L747" t="str">
        <f>IF(OR($I747="Čaká na biznis",$J747="Biznis",$J747="Švédsky biznis"),"ÁNO","")</f>
        <v/>
      </c>
      <c r="N747" s="2"/>
      <c r="O747" s="3"/>
      <c r="Q747"/>
      <c r="R747" s="3"/>
      <c r="S747" s="3"/>
      <c r="T747"/>
      <c r="U747"/>
      <c r="V747"/>
      <c r="W747"/>
      <c r="Z747"/>
      <c r="AA747"/>
      <c r="AD747"/>
    </row>
    <row r="748" spans="11:30" ht="18" customHeight="1">
      <c r="K748" t="str">
        <f>IF(OR($I748="Čaká na integráciu",$J748="Integrácia"),"ÁNO","")</f>
        <v/>
      </c>
      <c r="L748" t="str">
        <f>IF(OR($I748="Čaká na biznis",$J748="Biznis",$J748="Švédsky biznis"),"ÁNO","")</f>
        <v/>
      </c>
      <c r="N748" s="2"/>
      <c r="O748" s="3"/>
      <c r="Q748"/>
      <c r="R748" s="3"/>
      <c r="S748" s="3"/>
      <c r="T748"/>
      <c r="U748"/>
      <c r="V748"/>
      <c r="W748"/>
      <c r="Z748"/>
      <c r="AA748"/>
      <c r="AD748"/>
    </row>
    <row r="749" spans="11:30" ht="18" customHeight="1">
      <c r="K749" t="str">
        <f>IF(OR($I749="Čaká na integráciu",$J749="Integrácia"),"ÁNO","")</f>
        <v/>
      </c>
      <c r="L749" t="str">
        <f>IF(OR($I749="Čaká na biznis",$J749="Biznis",$J749="Švédsky biznis"),"ÁNO","")</f>
        <v/>
      </c>
      <c r="N749" s="2"/>
      <c r="O749" s="3"/>
      <c r="Q749"/>
      <c r="R749" s="3"/>
      <c r="S749" s="3"/>
      <c r="T749"/>
      <c r="U749"/>
      <c r="V749"/>
      <c r="W749"/>
      <c r="Z749"/>
      <c r="AA749"/>
      <c r="AD749"/>
    </row>
    <row r="750" spans="11:30" ht="18" customHeight="1">
      <c r="K750" t="str">
        <f>IF(OR($I750="Čaká na integráciu",$J750="Integrácia"),"ÁNO","")</f>
        <v/>
      </c>
      <c r="L750" t="str">
        <f>IF(OR($I750="Čaká na biznis",$J750="Biznis",$J750="Švédsky biznis"),"ÁNO","")</f>
        <v/>
      </c>
      <c r="N750" s="2"/>
      <c r="O750" s="3"/>
      <c r="Q750"/>
      <c r="R750" s="3"/>
      <c r="S750" s="3"/>
      <c r="T750"/>
      <c r="U750"/>
      <c r="V750"/>
      <c r="W750"/>
      <c r="Z750"/>
      <c r="AA750"/>
      <c r="AD750"/>
    </row>
    <row r="751" spans="11:30" ht="18" customHeight="1">
      <c r="K751" t="str">
        <f>IF(OR($I751="Čaká na integráciu",$J751="Integrácia"),"ÁNO","")</f>
        <v/>
      </c>
      <c r="L751" t="str">
        <f>IF(OR($I751="Čaká na biznis",$J751="Biznis",$J751="Švédsky biznis"),"ÁNO","")</f>
        <v/>
      </c>
      <c r="N751" s="2"/>
      <c r="O751" s="3"/>
      <c r="Q751"/>
      <c r="R751" s="3"/>
      <c r="S751" s="3"/>
      <c r="T751"/>
      <c r="U751"/>
      <c r="V751"/>
      <c r="W751"/>
      <c r="Z751"/>
      <c r="AA751"/>
      <c r="AD751"/>
    </row>
    <row r="752" spans="11:30" ht="18" customHeight="1">
      <c r="K752" t="str">
        <f>IF(OR($I752="Čaká na integráciu",$J752="Integrácia"),"ÁNO","")</f>
        <v/>
      </c>
      <c r="L752" t="str">
        <f>IF(OR($I752="Čaká na biznis",$J752="Biznis",$J752="Švédsky biznis"),"ÁNO","")</f>
        <v/>
      </c>
      <c r="N752" s="2"/>
      <c r="O752" s="3"/>
      <c r="Q752"/>
      <c r="R752" s="3"/>
      <c r="S752" s="3"/>
      <c r="T752"/>
      <c r="U752"/>
      <c r="V752"/>
      <c r="W752"/>
      <c r="Z752"/>
      <c r="AA752"/>
      <c r="AD752"/>
    </row>
    <row r="753" spans="11:30" ht="18" customHeight="1">
      <c r="K753" t="str">
        <f>IF(OR($I753="Čaká na integráciu",$J753="Integrácia"),"ÁNO","")</f>
        <v/>
      </c>
      <c r="L753" t="str">
        <f>IF(OR($I753="Čaká na biznis",$J753="Biznis",$J753="Švédsky biznis"),"ÁNO","")</f>
        <v/>
      </c>
      <c r="N753" s="2"/>
      <c r="O753" s="3"/>
      <c r="Q753"/>
      <c r="R753" s="3"/>
      <c r="S753" s="3"/>
      <c r="T753"/>
      <c r="U753"/>
      <c r="V753"/>
      <c r="W753"/>
      <c r="Z753"/>
      <c r="AA753"/>
      <c r="AD753"/>
    </row>
    <row r="754" spans="11:30" ht="18" customHeight="1">
      <c r="K754" t="str">
        <f>IF(OR($I754="Čaká na integráciu",$J754="Integrácia"),"ÁNO","")</f>
        <v/>
      </c>
      <c r="L754" t="str">
        <f>IF(OR($I754="Čaká na biznis",$J754="Biznis",$J754="Švédsky biznis"),"ÁNO","")</f>
        <v/>
      </c>
      <c r="N754" s="2"/>
      <c r="O754" s="3"/>
      <c r="Q754"/>
      <c r="R754" s="3"/>
      <c r="S754" s="3"/>
      <c r="T754"/>
      <c r="U754"/>
      <c r="V754"/>
      <c r="W754"/>
      <c r="Z754"/>
      <c r="AA754"/>
      <c r="AD754"/>
    </row>
    <row r="755" spans="11:30" ht="18" customHeight="1">
      <c r="K755" t="str">
        <f>IF(OR($I755="Čaká na integráciu",$J755="Integrácia"),"ÁNO","")</f>
        <v/>
      </c>
      <c r="L755" t="str">
        <f>IF(OR($I755="Čaká na biznis",$J755="Biznis",$J755="Švédsky biznis"),"ÁNO","")</f>
        <v/>
      </c>
      <c r="N755" s="2"/>
      <c r="O755" s="3"/>
      <c r="Q755"/>
      <c r="R755" s="3"/>
      <c r="S755" s="3"/>
      <c r="T755"/>
      <c r="U755"/>
      <c r="V755"/>
      <c r="W755"/>
      <c r="Z755"/>
      <c r="AA755"/>
      <c r="AD755"/>
    </row>
    <row r="756" spans="11:30" ht="18" customHeight="1">
      <c r="K756" t="str">
        <f>IF(OR($I756="Čaká na integráciu",$J756="Integrácia"),"ÁNO","")</f>
        <v/>
      </c>
      <c r="L756" t="str">
        <f>IF(OR($I756="Čaká na biznis",$J756="Biznis",$J756="Švédsky biznis"),"ÁNO","")</f>
        <v/>
      </c>
      <c r="N756" s="2"/>
      <c r="O756" s="3"/>
      <c r="Q756"/>
      <c r="R756" s="3"/>
      <c r="S756" s="3"/>
      <c r="T756"/>
      <c r="U756"/>
      <c r="V756"/>
      <c r="W756"/>
      <c r="Z756"/>
      <c r="AA756"/>
      <c r="AD756"/>
    </row>
    <row r="757" spans="11:30" ht="18" customHeight="1">
      <c r="K757" t="str">
        <f>IF(OR($I757="Čaká na integráciu",$J757="Integrácia"),"ÁNO","")</f>
        <v/>
      </c>
      <c r="L757" t="str">
        <f>IF(OR($I757="Čaká na biznis",$J757="Biznis",$J757="Švédsky biznis"),"ÁNO","")</f>
        <v/>
      </c>
      <c r="N757" s="2"/>
      <c r="O757" s="3"/>
      <c r="Q757"/>
      <c r="R757" s="3"/>
      <c r="S757" s="3"/>
      <c r="T757"/>
      <c r="U757"/>
      <c r="V757"/>
      <c r="W757"/>
      <c r="Z757"/>
      <c r="AA757"/>
      <c r="AD757"/>
    </row>
    <row r="758" spans="11:30" ht="18" customHeight="1">
      <c r="K758" t="str">
        <f>IF(OR($I758="Čaká na integráciu",$J758="Integrácia"),"ÁNO","")</f>
        <v/>
      </c>
      <c r="L758" t="str">
        <f>IF(OR($I758="Čaká na biznis",$J758="Biznis",$J758="Švédsky biznis"),"ÁNO","")</f>
        <v/>
      </c>
      <c r="N758" s="2"/>
      <c r="O758" s="3"/>
      <c r="Q758"/>
      <c r="R758" s="3"/>
      <c r="S758" s="3"/>
      <c r="T758"/>
      <c r="U758"/>
      <c r="V758"/>
      <c r="W758"/>
      <c r="Z758"/>
      <c r="AA758"/>
      <c r="AD758"/>
    </row>
    <row r="759" spans="11:30" ht="18" customHeight="1">
      <c r="K759" t="str">
        <f>IF(OR($I759="Čaká na integráciu",$J759="Integrácia"),"ÁNO","")</f>
        <v/>
      </c>
      <c r="L759" t="str">
        <f>IF(OR($I759="Čaká na biznis",$J759="Biznis",$J759="Švédsky biznis"),"ÁNO","")</f>
        <v/>
      </c>
      <c r="N759" s="2"/>
      <c r="O759" s="3"/>
      <c r="Q759"/>
      <c r="R759" s="3"/>
      <c r="S759" s="3"/>
      <c r="T759"/>
      <c r="U759"/>
      <c r="V759"/>
      <c r="W759"/>
      <c r="Z759"/>
      <c r="AA759"/>
      <c r="AD759"/>
    </row>
    <row r="760" spans="11:30" ht="18" customHeight="1">
      <c r="K760" t="str">
        <f>IF(OR($I760="Čaká na integráciu",$J760="Integrácia"),"ÁNO","")</f>
        <v/>
      </c>
      <c r="L760" t="str">
        <f>IF(OR($I760="Čaká na biznis",$J760="Biznis",$J760="Švédsky biznis"),"ÁNO","")</f>
        <v/>
      </c>
      <c r="N760" s="2"/>
      <c r="O760" s="3"/>
      <c r="Q760"/>
      <c r="R760" s="3"/>
      <c r="S760" s="3"/>
      <c r="T760"/>
      <c r="U760"/>
      <c r="V760"/>
      <c r="W760"/>
      <c r="Z760"/>
      <c r="AA760"/>
      <c r="AD760"/>
    </row>
    <row r="761" spans="11:30" ht="18" customHeight="1">
      <c r="K761" t="str">
        <f>IF(OR($I761="Čaká na integráciu",$J761="Integrácia"),"ÁNO","")</f>
        <v/>
      </c>
      <c r="L761" t="str">
        <f>IF(OR($I761="Čaká na biznis",$J761="Biznis",$J761="Švédsky biznis"),"ÁNO","")</f>
        <v/>
      </c>
      <c r="N761" s="2"/>
      <c r="O761" s="3"/>
      <c r="Q761"/>
      <c r="R761" s="3"/>
      <c r="S761" s="3"/>
      <c r="T761"/>
      <c r="U761"/>
      <c r="V761"/>
      <c r="W761"/>
      <c r="Z761"/>
      <c r="AA761"/>
      <c r="AD761"/>
    </row>
    <row r="762" spans="11:30" ht="18" customHeight="1">
      <c r="K762" t="str">
        <f>IF(OR($I762="Čaká na integráciu",$J762="Integrácia"),"ÁNO","")</f>
        <v/>
      </c>
      <c r="L762" t="str">
        <f>IF(OR($I762="Čaká na biznis",$J762="Biznis",$J762="Švédsky biznis"),"ÁNO","")</f>
        <v/>
      </c>
      <c r="N762" s="2"/>
      <c r="O762" s="3"/>
      <c r="Q762"/>
      <c r="R762" s="3"/>
      <c r="S762" s="3"/>
      <c r="T762"/>
      <c r="U762"/>
      <c r="V762"/>
      <c r="W762"/>
      <c r="Z762"/>
      <c r="AA762"/>
      <c r="AD762"/>
    </row>
    <row r="763" spans="11:30" ht="18" customHeight="1">
      <c r="K763" t="str">
        <f>IF(OR($I763="Čaká na integráciu",$J763="Integrácia"),"ÁNO","")</f>
        <v/>
      </c>
      <c r="L763" t="str">
        <f>IF(OR($I763="Čaká na biznis",$J763="Biznis",$J763="Švédsky biznis"),"ÁNO","")</f>
        <v/>
      </c>
      <c r="N763" s="2"/>
      <c r="O763" s="3"/>
      <c r="Q763"/>
      <c r="R763" s="3"/>
      <c r="S763" s="3"/>
      <c r="T763"/>
      <c r="U763"/>
      <c r="V763"/>
      <c r="W763"/>
      <c r="Z763"/>
      <c r="AA763"/>
      <c r="AD763"/>
    </row>
    <row r="764" spans="11:30" ht="18" customHeight="1">
      <c r="K764" t="str">
        <f>IF(OR($I764="Čaká na integráciu",$J764="Integrácia"),"ÁNO","")</f>
        <v/>
      </c>
      <c r="L764" t="str">
        <f>IF(OR($I764="Čaká na biznis",$J764="Biznis",$J764="Švédsky biznis"),"ÁNO","")</f>
        <v/>
      </c>
      <c r="N764" s="2"/>
      <c r="O764" s="3"/>
      <c r="Q764"/>
      <c r="R764" s="3"/>
      <c r="S764" s="3"/>
      <c r="T764"/>
      <c r="U764"/>
      <c r="V764"/>
      <c r="W764"/>
      <c r="Z764"/>
      <c r="AA764"/>
      <c r="AD764"/>
    </row>
    <row r="765" spans="11:30" ht="18" customHeight="1">
      <c r="K765" t="str">
        <f>IF(OR($I765="Čaká na integráciu",$J765="Integrácia"),"ÁNO","")</f>
        <v/>
      </c>
      <c r="L765" t="str">
        <f>IF(OR($I765="Čaká na biznis",$J765="Biznis",$J765="Švédsky biznis"),"ÁNO","")</f>
        <v/>
      </c>
      <c r="N765" s="2"/>
      <c r="O765" s="3"/>
      <c r="Q765"/>
      <c r="R765" s="3"/>
      <c r="S765" s="3"/>
      <c r="T765"/>
      <c r="U765"/>
      <c r="V765"/>
      <c r="W765"/>
      <c r="Z765"/>
      <c r="AA765"/>
      <c r="AD765"/>
    </row>
    <row r="766" spans="11:30" ht="18" customHeight="1">
      <c r="K766" t="str">
        <f>IF(OR($I766="Čaká na integráciu",$J766="Integrácia"),"ÁNO","")</f>
        <v/>
      </c>
      <c r="L766" t="str">
        <f>IF(OR($I766="Čaká na biznis",$J766="Biznis",$J766="Švédsky biznis"),"ÁNO","")</f>
        <v/>
      </c>
      <c r="N766" s="2"/>
      <c r="O766" s="3"/>
      <c r="Q766"/>
      <c r="R766" s="3"/>
      <c r="S766" s="3"/>
      <c r="T766"/>
      <c r="U766"/>
      <c r="V766"/>
      <c r="W766"/>
      <c r="Z766"/>
      <c r="AA766"/>
      <c r="AD766"/>
    </row>
    <row r="767" spans="11:30" ht="18" customHeight="1">
      <c r="K767" t="str">
        <f>IF(OR($I767="Čaká na integráciu",$J767="Integrácia"),"ÁNO","")</f>
        <v/>
      </c>
      <c r="L767" t="str">
        <f>IF(OR($I767="Čaká na biznis",$J767="Biznis",$J767="Švédsky biznis"),"ÁNO","")</f>
        <v/>
      </c>
      <c r="N767" s="2"/>
      <c r="O767" s="3"/>
      <c r="Q767"/>
      <c r="R767" s="3"/>
      <c r="S767" s="3"/>
      <c r="T767"/>
      <c r="U767"/>
      <c r="V767"/>
      <c r="W767"/>
      <c r="Z767"/>
      <c r="AA767"/>
      <c r="AD767"/>
    </row>
    <row r="768" spans="11:30" ht="18" customHeight="1">
      <c r="K768" t="str">
        <f>IF(OR($I768="Čaká na integráciu",$J768="Integrácia"),"ÁNO","")</f>
        <v/>
      </c>
      <c r="L768" t="str">
        <f>IF(OR($I768="Čaká na biznis",$J768="Biznis",$J768="Švédsky biznis"),"ÁNO","")</f>
        <v/>
      </c>
      <c r="N768" s="2"/>
      <c r="O768" s="3"/>
      <c r="Q768"/>
      <c r="R768" s="3"/>
      <c r="S768" s="3"/>
      <c r="T768"/>
      <c r="U768"/>
      <c r="V768"/>
      <c r="W768"/>
      <c r="Z768"/>
      <c r="AA768"/>
      <c r="AD768"/>
    </row>
    <row r="769" spans="11:30" ht="18" customHeight="1">
      <c r="K769" t="str">
        <f>IF(OR($I769="Čaká na integráciu",$J769="Integrácia"),"ÁNO","")</f>
        <v/>
      </c>
      <c r="L769" t="str">
        <f>IF(OR($I769="Čaká na biznis",$J769="Biznis",$J769="Švédsky biznis"),"ÁNO","")</f>
        <v/>
      </c>
      <c r="N769" s="2"/>
      <c r="O769" s="3"/>
      <c r="Q769"/>
      <c r="R769" s="3"/>
      <c r="S769" s="3"/>
      <c r="T769"/>
      <c r="U769"/>
      <c r="V769"/>
      <c r="W769"/>
      <c r="Z769"/>
      <c r="AA769"/>
      <c r="AD769"/>
    </row>
    <row r="770" spans="11:30" ht="18" customHeight="1">
      <c r="K770" t="str">
        <f>IF(OR($I770="Čaká na integráciu",$J770="Integrácia"),"ÁNO","")</f>
        <v/>
      </c>
      <c r="L770" t="str">
        <f>IF(OR($I770="Čaká na biznis",$J770="Biznis",$J770="Švédsky biznis"),"ÁNO","")</f>
        <v/>
      </c>
      <c r="N770" s="2"/>
      <c r="O770" s="3"/>
      <c r="Q770"/>
      <c r="R770" s="3"/>
      <c r="S770" s="3"/>
      <c r="T770"/>
      <c r="U770"/>
      <c r="V770"/>
      <c r="W770"/>
      <c r="Z770"/>
      <c r="AA770"/>
      <c r="AD770"/>
    </row>
    <row r="771" spans="11:30" ht="18" customHeight="1">
      <c r="K771" t="str">
        <f>IF(OR($I771="Čaká na integráciu",$J771="Integrácia"),"ÁNO","")</f>
        <v/>
      </c>
      <c r="L771" t="str">
        <f>IF(OR($I771="Čaká na biznis",$J771="Biznis",$J771="Švédsky biznis"),"ÁNO","")</f>
        <v/>
      </c>
      <c r="N771" s="2"/>
      <c r="O771" s="3"/>
      <c r="Q771"/>
      <c r="R771" s="3"/>
      <c r="S771" s="3"/>
      <c r="T771"/>
      <c r="U771"/>
      <c r="V771"/>
      <c r="W771"/>
      <c r="Z771"/>
      <c r="AA771"/>
      <c r="AD771"/>
    </row>
    <row r="772" spans="11:30" ht="18" customHeight="1">
      <c r="K772" t="str">
        <f>IF(OR($I772="Čaká na integráciu",$J772="Integrácia"),"ÁNO","")</f>
        <v/>
      </c>
      <c r="L772" t="str">
        <f>IF(OR($I772="Čaká na biznis",$J772="Biznis",$J772="Švédsky biznis"),"ÁNO","")</f>
        <v/>
      </c>
      <c r="N772" s="2"/>
      <c r="O772" s="3"/>
      <c r="Q772"/>
      <c r="R772" s="3"/>
      <c r="S772" s="3"/>
      <c r="T772"/>
      <c r="U772"/>
      <c r="V772"/>
      <c r="W772"/>
      <c r="Z772"/>
      <c r="AA772"/>
      <c r="AD772"/>
    </row>
    <row r="773" spans="11:30" ht="18" customHeight="1">
      <c r="K773" t="str">
        <f>IF(OR($I773="Čaká na integráciu",$J773="Integrácia"),"ÁNO","")</f>
        <v/>
      </c>
      <c r="L773" t="str">
        <f>IF(OR($I773="Čaká na biznis",$J773="Biznis",$J773="Švédsky biznis"),"ÁNO","")</f>
        <v/>
      </c>
      <c r="N773" s="2"/>
      <c r="O773" s="3"/>
      <c r="Q773"/>
      <c r="R773" s="3"/>
      <c r="S773" s="3"/>
      <c r="T773"/>
      <c r="U773"/>
      <c r="V773"/>
      <c r="W773"/>
      <c r="Z773"/>
      <c r="AA773"/>
      <c r="AD773"/>
    </row>
    <row r="774" spans="11:30" ht="18" customHeight="1">
      <c r="K774" t="str">
        <f>IF(OR($I774="Čaká na integráciu",$J774="Integrácia"),"ÁNO","")</f>
        <v/>
      </c>
      <c r="L774" t="str">
        <f>IF(OR($I774="Čaká na biznis",$J774="Biznis",$J774="Švédsky biznis"),"ÁNO","")</f>
        <v/>
      </c>
      <c r="N774" s="2"/>
      <c r="O774" s="3"/>
      <c r="Q774"/>
      <c r="R774" s="3"/>
      <c r="S774" s="3"/>
      <c r="T774"/>
      <c r="U774"/>
      <c r="V774"/>
      <c r="W774"/>
      <c r="Z774"/>
      <c r="AA774"/>
      <c r="AD774"/>
    </row>
    <row r="775" spans="11:30" ht="18" customHeight="1">
      <c r="K775" t="str">
        <f>IF(OR($I775="Čaká na integráciu",$J775="Integrácia"),"ÁNO","")</f>
        <v/>
      </c>
      <c r="L775" t="str">
        <f>IF(OR($I775="Čaká na biznis",$J775="Biznis",$J775="Švédsky biznis"),"ÁNO","")</f>
        <v/>
      </c>
      <c r="N775" s="2"/>
      <c r="O775" s="3"/>
      <c r="Q775"/>
      <c r="R775" s="3"/>
      <c r="S775" s="3"/>
      <c r="T775"/>
      <c r="U775"/>
      <c r="V775"/>
      <c r="W775"/>
      <c r="Z775"/>
      <c r="AA775"/>
      <c r="AD775"/>
    </row>
    <row r="776" spans="11:30" ht="18" customHeight="1">
      <c r="K776" t="str">
        <f>IF(OR($I776="Čaká na integráciu",$J776="Integrácia"),"ÁNO","")</f>
        <v/>
      </c>
      <c r="L776" t="str">
        <f>IF(OR($I776="Čaká na biznis",$J776="Biznis",$J776="Švédsky biznis"),"ÁNO","")</f>
        <v/>
      </c>
      <c r="N776" s="2"/>
      <c r="O776" s="3"/>
      <c r="Q776"/>
      <c r="R776" s="3"/>
      <c r="S776" s="3"/>
      <c r="T776"/>
      <c r="U776"/>
      <c r="V776"/>
      <c r="W776"/>
      <c r="Z776"/>
      <c r="AA776"/>
      <c r="AD776"/>
    </row>
    <row r="777" spans="11:30" ht="18" customHeight="1">
      <c r="K777" t="str">
        <f>IF(OR($I777="Čaká na integráciu",$J777="Integrácia"),"ÁNO","")</f>
        <v/>
      </c>
      <c r="L777" t="str">
        <f>IF(OR($I777="Čaká na biznis",$J777="Biznis",$J777="Švédsky biznis"),"ÁNO","")</f>
        <v/>
      </c>
      <c r="N777" s="2"/>
      <c r="O777" s="3"/>
      <c r="Q777"/>
      <c r="R777" s="3"/>
      <c r="S777" s="3"/>
      <c r="T777"/>
      <c r="U777"/>
      <c r="V777"/>
      <c r="W777"/>
      <c r="Z777"/>
      <c r="AA777"/>
      <c r="AD777"/>
    </row>
    <row r="778" spans="11:30" ht="18" customHeight="1">
      <c r="K778" t="str">
        <f>IF(OR($I778="Čaká na integráciu",$J778="Integrácia"),"ÁNO","")</f>
        <v/>
      </c>
      <c r="L778" t="str">
        <f>IF(OR($I778="Čaká na biznis",$J778="Biznis",$J778="Švédsky biznis"),"ÁNO","")</f>
        <v/>
      </c>
      <c r="N778" s="2"/>
      <c r="O778" s="3"/>
      <c r="Q778"/>
      <c r="R778" s="3"/>
      <c r="S778" s="3"/>
      <c r="T778"/>
      <c r="U778"/>
      <c r="V778"/>
      <c r="W778"/>
      <c r="Z778"/>
      <c r="AA778"/>
      <c r="AD778"/>
    </row>
    <row r="779" spans="11:30" ht="18" customHeight="1">
      <c r="K779" t="str">
        <f>IF(OR($I779="Čaká na integráciu",$J779="Integrácia"),"ÁNO","")</f>
        <v/>
      </c>
      <c r="L779" t="str">
        <f>IF(OR($I779="Čaká na biznis",$J779="Biznis",$J779="Švédsky biznis"),"ÁNO","")</f>
        <v/>
      </c>
      <c r="N779" s="2"/>
      <c r="O779" s="3"/>
      <c r="Q779"/>
      <c r="R779" s="3"/>
      <c r="S779" s="3"/>
      <c r="T779"/>
      <c r="U779"/>
      <c r="V779"/>
      <c r="W779"/>
      <c r="Z779"/>
      <c r="AA779"/>
      <c r="AD779"/>
    </row>
    <row r="780" spans="11:30" ht="18" customHeight="1">
      <c r="K780" t="str">
        <f>IF(OR($I780="Čaká na integráciu",$J780="Integrácia"),"ÁNO","")</f>
        <v/>
      </c>
      <c r="L780" t="str">
        <f>IF(OR($I780="Čaká na biznis",$J780="Biznis",$J780="Švédsky biznis"),"ÁNO","")</f>
        <v/>
      </c>
      <c r="N780" s="2"/>
      <c r="O780" s="3"/>
      <c r="Q780"/>
      <c r="R780" s="3"/>
      <c r="S780" s="3"/>
      <c r="T780"/>
      <c r="U780"/>
      <c r="V780"/>
      <c r="W780"/>
      <c r="Z780"/>
      <c r="AA780"/>
      <c r="AD780"/>
    </row>
    <row r="781" spans="11:30" ht="18" customHeight="1">
      <c r="K781" t="str">
        <f>IF(OR($I781="Čaká na integráciu",$J781="Integrácia"),"ÁNO","")</f>
        <v/>
      </c>
      <c r="L781" t="str">
        <f>IF(OR($I781="Čaká na biznis",$J781="Biznis",$J781="Švédsky biznis"),"ÁNO","")</f>
        <v/>
      </c>
      <c r="N781" s="2"/>
      <c r="O781" s="3"/>
      <c r="Q781"/>
      <c r="R781" s="3"/>
      <c r="S781" s="3"/>
      <c r="T781"/>
      <c r="U781"/>
      <c r="V781"/>
      <c r="W781"/>
      <c r="Z781"/>
      <c r="AA781"/>
      <c r="AD781"/>
    </row>
    <row r="782" spans="11:30" ht="18" customHeight="1">
      <c r="K782" t="str">
        <f>IF(OR($I782="Čaká na integráciu",$J782="Integrácia"),"ÁNO","")</f>
        <v/>
      </c>
      <c r="L782" t="str">
        <f>IF(OR($I782="Čaká na biznis",$J782="Biznis",$J782="Švédsky biznis"),"ÁNO","")</f>
        <v/>
      </c>
      <c r="N782" s="2"/>
      <c r="O782" s="3"/>
      <c r="Q782"/>
      <c r="R782" s="3"/>
      <c r="S782" s="3"/>
      <c r="T782"/>
      <c r="U782"/>
      <c r="V782"/>
      <c r="W782"/>
      <c r="Z782"/>
      <c r="AA782"/>
      <c r="AD782"/>
    </row>
    <row r="783" spans="11:30" ht="18" customHeight="1">
      <c r="K783" t="str">
        <f>IF(OR($I783="Čaká na integráciu",$J783="Integrácia"),"ÁNO","")</f>
        <v/>
      </c>
      <c r="L783" t="str">
        <f>IF(OR($I783="Čaká na biznis",$J783="Biznis",$J783="Švédsky biznis"),"ÁNO","")</f>
        <v/>
      </c>
      <c r="N783" s="2"/>
      <c r="O783" s="3"/>
      <c r="Q783"/>
      <c r="R783" s="3"/>
      <c r="S783" s="3"/>
      <c r="T783"/>
      <c r="U783"/>
      <c r="V783"/>
      <c r="W783"/>
      <c r="Z783"/>
      <c r="AA783"/>
      <c r="AD783"/>
    </row>
    <row r="784" spans="11:30" ht="18" customHeight="1">
      <c r="K784" t="str">
        <f>IF(OR($I784="Čaká na integráciu",$J784="Integrácia"),"ÁNO","")</f>
        <v/>
      </c>
      <c r="L784" t="str">
        <f>IF(OR($I784="Čaká na biznis",$J784="Biznis",$J784="Švédsky biznis"),"ÁNO","")</f>
        <v/>
      </c>
      <c r="N784" s="2"/>
      <c r="O784" s="3"/>
      <c r="Q784"/>
      <c r="R784" s="3"/>
      <c r="S784" s="3"/>
      <c r="T784"/>
      <c r="U784"/>
      <c r="V784"/>
      <c r="W784"/>
      <c r="Z784"/>
      <c r="AA784"/>
      <c r="AD784"/>
    </row>
    <row r="785" spans="11:30" ht="18" customHeight="1">
      <c r="K785" t="str">
        <f>IF(OR($I785="Čaká na integráciu",$J785="Integrácia"),"ÁNO","")</f>
        <v/>
      </c>
      <c r="L785" t="str">
        <f>IF(OR($I785="Čaká na biznis",$J785="Biznis",$J785="Švédsky biznis"),"ÁNO","")</f>
        <v/>
      </c>
      <c r="N785" s="2"/>
      <c r="O785" s="3"/>
      <c r="Q785"/>
      <c r="R785" s="3"/>
      <c r="S785" s="3"/>
      <c r="T785"/>
      <c r="U785"/>
      <c r="V785"/>
      <c r="W785"/>
      <c r="Z785"/>
      <c r="AA785"/>
      <c r="AD785"/>
    </row>
    <row r="786" spans="11:30" ht="18" customHeight="1">
      <c r="K786" t="str">
        <f>IF(OR($I786="Čaká na integráciu",$J786="Integrácia"),"ÁNO","")</f>
        <v/>
      </c>
      <c r="L786" t="str">
        <f>IF(OR($I786="Čaká na biznis",$J786="Biznis",$J786="Švédsky biznis"),"ÁNO","")</f>
        <v/>
      </c>
      <c r="N786" s="2"/>
      <c r="O786" s="3"/>
      <c r="Q786"/>
      <c r="R786" s="3"/>
      <c r="S786" s="3"/>
      <c r="T786"/>
      <c r="U786"/>
      <c r="V786"/>
      <c r="W786"/>
      <c r="Z786"/>
      <c r="AA786"/>
      <c r="AD786"/>
    </row>
    <row r="787" spans="11:30" ht="18" customHeight="1">
      <c r="K787" t="str">
        <f>IF(OR($I787="Čaká na integráciu",$J787="Integrácia"),"ÁNO","")</f>
        <v/>
      </c>
      <c r="L787" t="str">
        <f>IF(OR($I787="Čaká na biznis",$J787="Biznis",$J787="Švédsky biznis"),"ÁNO","")</f>
        <v/>
      </c>
      <c r="N787" s="2"/>
      <c r="O787" s="3"/>
      <c r="Q787"/>
      <c r="R787" s="3"/>
      <c r="S787" s="3"/>
      <c r="T787"/>
      <c r="U787"/>
      <c r="V787"/>
      <c r="W787"/>
      <c r="Z787"/>
      <c r="AA787"/>
      <c r="AD787"/>
    </row>
    <row r="788" spans="11:30" ht="18" customHeight="1">
      <c r="K788" t="str">
        <f>IF(OR($I788="Čaká na integráciu",$J788="Integrácia"),"ÁNO","")</f>
        <v/>
      </c>
      <c r="L788" t="str">
        <f>IF(OR($I788="Čaká na biznis",$J788="Biznis",$J788="Švédsky biznis"),"ÁNO","")</f>
        <v/>
      </c>
      <c r="N788" s="2"/>
      <c r="O788" s="3"/>
      <c r="Q788"/>
      <c r="R788" s="3"/>
      <c r="S788" s="3"/>
      <c r="T788"/>
      <c r="U788"/>
      <c r="V788"/>
      <c r="W788"/>
      <c r="Z788"/>
      <c r="AA788"/>
      <c r="AD788"/>
    </row>
    <row r="789" spans="11:30" ht="18" customHeight="1">
      <c r="K789" t="str">
        <f>IF(OR($I789="Čaká na integráciu",$J789="Integrácia"),"ÁNO","")</f>
        <v/>
      </c>
      <c r="L789" t="str">
        <f>IF(OR($I789="Čaká na biznis",$J789="Biznis",$J789="Švédsky biznis"),"ÁNO","")</f>
        <v/>
      </c>
      <c r="N789" s="2"/>
      <c r="O789" s="3"/>
      <c r="Q789"/>
      <c r="R789" s="3"/>
      <c r="S789" s="3"/>
      <c r="T789"/>
      <c r="U789"/>
      <c r="V789"/>
      <c r="W789"/>
      <c r="Z789"/>
      <c r="AA789"/>
      <c r="AD789"/>
    </row>
    <row r="790" spans="11:30" ht="18" customHeight="1">
      <c r="K790" t="str">
        <f>IF(OR($I790="Čaká na integráciu",$J790="Integrácia"),"ÁNO","")</f>
        <v/>
      </c>
      <c r="L790" t="str">
        <f>IF(OR($I790="Čaká na biznis",$J790="Biznis",$J790="Švédsky biznis"),"ÁNO","")</f>
        <v/>
      </c>
      <c r="N790" s="2"/>
      <c r="O790" s="3"/>
      <c r="Q790"/>
      <c r="R790" s="3"/>
      <c r="S790" s="3"/>
      <c r="T790"/>
      <c r="U790"/>
      <c r="V790"/>
      <c r="W790"/>
      <c r="Z790"/>
      <c r="AA790"/>
      <c r="AD790"/>
    </row>
    <row r="791" spans="11:30" ht="18" customHeight="1">
      <c r="K791" t="str">
        <f>IF(OR($I791="Čaká na integráciu",$J791="Integrácia"),"ÁNO","")</f>
        <v/>
      </c>
      <c r="L791" t="str">
        <f>IF(OR($I791="Čaká na biznis",$J791="Biznis",$J791="Švédsky biznis"),"ÁNO","")</f>
        <v/>
      </c>
      <c r="N791" s="2"/>
      <c r="O791" s="3"/>
      <c r="Q791"/>
      <c r="R791" s="3"/>
      <c r="S791" s="3"/>
      <c r="T791"/>
      <c r="U791"/>
      <c r="V791"/>
      <c r="W791"/>
      <c r="Z791"/>
      <c r="AA791"/>
      <c r="AD791"/>
    </row>
    <row r="792" spans="11:30" ht="18" customHeight="1">
      <c r="K792" t="str">
        <f>IF(OR($I792="Čaká na integráciu",$J792="Integrácia"),"ÁNO","")</f>
        <v/>
      </c>
      <c r="L792" t="str">
        <f>IF(OR($I792="Čaká na biznis",$J792="Biznis",$J792="Švédsky biznis"),"ÁNO","")</f>
        <v/>
      </c>
      <c r="N792" s="2"/>
      <c r="O792" s="3"/>
      <c r="Q792"/>
      <c r="R792" s="3"/>
      <c r="S792" s="3"/>
      <c r="T792"/>
      <c r="U792"/>
      <c r="V792"/>
      <c r="W792"/>
      <c r="Z792"/>
      <c r="AA792"/>
      <c r="AD792"/>
    </row>
    <row r="793" spans="11:30" ht="18" customHeight="1">
      <c r="K793" t="str">
        <f>IF(OR($I793="Čaká na integráciu",$J793="Integrácia"),"ÁNO","")</f>
        <v/>
      </c>
      <c r="L793" t="str">
        <f>IF(OR($I793="Čaká na biznis",$J793="Biznis",$J793="Švédsky biznis"),"ÁNO","")</f>
        <v/>
      </c>
      <c r="N793" s="2"/>
      <c r="O793" s="3"/>
      <c r="Q793"/>
      <c r="R793" s="3"/>
      <c r="S793" s="3"/>
      <c r="T793"/>
      <c r="U793"/>
      <c r="V793"/>
      <c r="W793"/>
      <c r="Z793"/>
      <c r="AA793"/>
      <c r="AD793"/>
    </row>
    <row r="794" spans="11:30" ht="18" customHeight="1">
      <c r="K794" t="str">
        <f>IF(OR($I794="Čaká na integráciu",$J794="Integrácia"),"ÁNO","")</f>
        <v/>
      </c>
      <c r="L794" t="str">
        <f>IF(OR($I794="Čaká na biznis",$J794="Biznis",$J794="Švédsky biznis"),"ÁNO","")</f>
        <v/>
      </c>
      <c r="N794" s="2"/>
      <c r="O794" s="3"/>
      <c r="Q794"/>
      <c r="R794" s="3"/>
      <c r="S794" s="3"/>
      <c r="T794"/>
      <c r="U794"/>
      <c r="V794"/>
      <c r="W794"/>
      <c r="Z794"/>
      <c r="AA794"/>
      <c r="AD794"/>
    </row>
    <row r="795" spans="11:30" ht="18" customHeight="1">
      <c r="K795" t="str">
        <f>IF(OR($I795="Čaká na integráciu",$J795="Integrácia"),"ÁNO","")</f>
        <v/>
      </c>
      <c r="L795" t="str">
        <f>IF(OR($I795="Čaká na biznis",$J795="Biznis",$J795="Švédsky biznis"),"ÁNO","")</f>
        <v/>
      </c>
      <c r="N795" s="2"/>
      <c r="O795" s="3"/>
      <c r="Q795"/>
      <c r="R795" s="3"/>
      <c r="S795" s="3"/>
      <c r="T795"/>
      <c r="U795"/>
      <c r="V795"/>
      <c r="W795"/>
      <c r="Z795"/>
      <c r="AA795"/>
      <c r="AD795"/>
    </row>
    <row r="796" spans="11:30" ht="18" customHeight="1">
      <c r="K796" t="str">
        <f>IF(OR($I796="Čaká na integráciu",$J796="Integrácia"),"ÁNO","")</f>
        <v/>
      </c>
      <c r="L796" t="str">
        <f>IF(OR($I796="Čaká na biznis",$J796="Biznis",$J796="Švédsky biznis"),"ÁNO","")</f>
        <v/>
      </c>
      <c r="N796" s="2"/>
      <c r="O796" s="3"/>
      <c r="Q796"/>
      <c r="R796" s="3"/>
      <c r="S796" s="3"/>
      <c r="T796"/>
      <c r="U796"/>
      <c r="V796"/>
      <c r="W796"/>
      <c r="Z796"/>
      <c r="AA796"/>
      <c r="AD796"/>
    </row>
    <row r="797" spans="11:30" ht="18" customHeight="1">
      <c r="K797" t="str">
        <f>IF(OR($I797="Čaká na integráciu",$J797="Integrácia"),"ÁNO","")</f>
        <v/>
      </c>
      <c r="L797" t="str">
        <f>IF(OR($I797="Čaká na biznis",$J797="Biznis",$J797="Švédsky biznis"),"ÁNO","")</f>
        <v/>
      </c>
      <c r="N797" s="2"/>
      <c r="O797" s="3"/>
      <c r="Q797"/>
      <c r="R797" s="3"/>
      <c r="S797" s="3"/>
      <c r="T797"/>
      <c r="U797"/>
      <c r="V797"/>
      <c r="W797"/>
      <c r="Z797"/>
      <c r="AA797"/>
      <c r="AD797"/>
    </row>
    <row r="798" spans="11:30" ht="18" customHeight="1">
      <c r="K798" t="str">
        <f>IF(OR($I798="Čaká na integráciu",$J798="Integrácia"),"ÁNO","")</f>
        <v/>
      </c>
      <c r="L798" t="str">
        <f>IF(OR($I798="Čaká na biznis",$J798="Biznis",$J798="Švédsky biznis"),"ÁNO","")</f>
        <v/>
      </c>
      <c r="N798" s="2"/>
      <c r="O798" s="3"/>
      <c r="Q798"/>
      <c r="R798" s="3"/>
      <c r="S798" s="3"/>
      <c r="T798"/>
      <c r="U798"/>
      <c r="V798"/>
      <c r="W798"/>
      <c r="Z798"/>
      <c r="AA798"/>
      <c r="AD798"/>
    </row>
    <row r="799" spans="11:30" ht="18" customHeight="1">
      <c r="K799" t="str">
        <f>IF(OR($I799="Čaká na integráciu",$J799="Integrácia"),"ÁNO","")</f>
        <v/>
      </c>
      <c r="L799" t="str">
        <f>IF(OR($I799="Čaká na biznis",$J799="Biznis",$J799="Švédsky biznis"),"ÁNO","")</f>
        <v/>
      </c>
      <c r="N799" s="2"/>
      <c r="O799" s="3"/>
      <c r="Q799"/>
      <c r="R799" s="3"/>
      <c r="S799" s="3"/>
      <c r="T799"/>
      <c r="U799"/>
      <c r="V799"/>
      <c r="W799"/>
      <c r="Z799"/>
      <c r="AA799"/>
      <c r="AD799"/>
    </row>
    <row r="800" spans="11:30" ht="18" customHeight="1">
      <c r="K800" t="str">
        <f>IF(OR($I800="Čaká na integráciu",$J800="Integrácia"),"ÁNO","")</f>
        <v/>
      </c>
      <c r="L800" t="str">
        <f>IF(OR($I800="Čaká na biznis",$J800="Biznis",$J800="Švédsky biznis"),"ÁNO","")</f>
        <v/>
      </c>
      <c r="N800" s="2"/>
      <c r="O800" s="3"/>
      <c r="Q800"/>
      <c r="R800" s="3"/>
      <c r="S800" s="3"/>
      <c r="T800"/>
      <c r="U800"/>
      <c r="V800"/>
      <c r="W800"/>
      <c r="Z800"/>
      <c r="AA800"/>
      <c r="AD800"/>
    </row>
    <row r="801" spans="11:30" ht="18" customHeight="1">
      <c r="K801" t="str">
        <f>IF(OR($I801="Čaká na integráciu",$J801="Integrácia"),"ÁNO","")</f>
        <v/>
      </c>
      <c r="L801" t="str">
        <f>IF(OR($I801="Čaká na biznis",$J801="Biznis",$J801="Švédsky biznis"),"ÁNO","")</f>
        <v/>
      </c>
      <c r="N801" s="2"/>
      <c r="O801" s="3"/>
      <c r="Q801"/>
      <c r="R801" s="3"/>
      <c r="S801" s="3"/>
      <c r="T801"/>
      <c r="U801"/>
      <c r="V801"/>
      <c r="W801"/>
      <c r="Z801"/>
      <c r="AA801"/>
      <c r="AD801"/>
    </row>
    <row r="802" spans="11:30" ht="18" customHeight="1">
      <c r="K802" t="str">
        <f>IF(OR($I802="Čaká na integráciu",$J802="Integrácia"),"ÁNO","")</f>
        <v/>
      </c>
      <c r="L802" t="str">
        <f>IF(OR($I802="Čaká na biznis",$J802="Biznis",$J802="Švédsky biznis"),"ÁNO","")</f>
        <v/>
      </c>
      <c r="N802" s="2"/>
      <c r="O802" s="3"/>
      <c r="Q802"/>
      <c r="R802" s="3"/>
      <c r="S802" s="3"/>
      <c r="T802"/>
      <c r="U802"/>
      <c r="V802"/>
      <c r="W802"/>
      <c r="Z802"/>
      <c r="AA802"/>
      <c r="AD802"/>
    </row>
    <row r="803" spans="11:30" ht="18" customHeight="1">
      <c r="K803" t="str">
        <f>IF(OR($I803="Čaká na integráciu",$J803="Integrácia"),"ÁNO","")</f>
        <v/>
      </c>
      <c r="L803" t="str">
        <f>IF(OR($I803="Čaká na biznis",$J803="Biznis",$J803="Švédsky biznis"),"ÁNO","")</f>
        <v/>
      </c>
      <c r="N803" s="2"/>
      <c r="O803" s="3"/>
      <c r="Q803"/>
      <c r="R803" s="3"/>
      <c r="S803" s="3"/>
      <c r="T803"/>
      <c r="U803"/>
      <c r="V803"/>
      <c r="W803"/>
      <c r="Z803"/>
      <c r="AA803"/>
      <c r="AD803"/>
    </row>
    <row r="804" spans="11:30" ht="18" customHeight="1">
      <c r="K804" t="str">
        <f>IF(OR($I804="Čaká na integráciu",$J804="Integrácia"),"ÁNO","")</f>
        <v/>
      </c>
      <c r="L804" t="str">
        <f>IF(OR($I804="Čaká na biznis",$J804="Biznis",$J804="Švédsky biznis"),"ÁNO","")</f>
        <v/>
      </c>
      <c r="N804" s="2"/>
      <c r="O804" s="3"/>
      <c r="Q804"/>
      <c r="R804" s="3"/>
      <c r="S804" s="3"/>
      <c r="T804"/>
      <c r="U804"/>
      <c r="V804"/>
      <c r="W804"/>
      <c r="Z804"/>
      <c r="AA804"/>
      <c r="AD804"/>
    </row>
    <row r="805" spans="11:30" ht="18" customHeight="1">
      <c r="K805" t="str">
        <f>IF(OR($I805="Čaká na integráciu",$J805="Integrácia"),"ÁNO","")</f>
        <v/>
      </c>
      <c r="L805" t="str">
        <f>IF(OR($I805="Čaká na biznis",$J805="Biznis",$J805="Švédsky biznis"),"ÁNO","")</f>
        <v/>
      </c>
      <c r="N805" s="2"/>
      <c r="O805" s="3"/>
      <c r="Q805"/>
      <c r="R805" s="3"/>
      <c r="S805" s="3"/>
      <c r="T805"/>
      <c r="U805"/>
      <c r="V805"/>
      <c r="W805"/>
      <c r="Z805"/>
      <c r="AA805"/>
      <c r="AD805"/>
    </row>
    <row r="806" spans="11:30" ht="18" customHeight="1">
      <c r="K806" t="str">
        <f>IF(OR($I806="Čaká na integráciu",$J806="Integrácia"),"ÁNO","")</f>
        <v/>
      </c>
      <c r="L806" t="str">
        <f>IF(OR($I806="Čaká na biznis",$J806="Biznis",$J806="Švédsky biznis"),"ÁNO","")</f>
        <v/>
      </c>
      <c r="N806" s="2"/>
      <c r="O806" s="3"/>
      <c r="Q806"/>
      <c r="R806" s="3"/>
      <c r="S806" s="3"/>
      <c r="T806"/>
      <c r="U806"/>
      <c r="V806"/>
      <c r="W806"/>
      <c r="Z806"/>
      <c r="AA806"/>
      <c r="AD806"/>
    </row>
    <row r="807" spans="11:30" ht="18" customHeight="1">
      <c r="K807" t="str">
        <f>IF(OR($I807="Čaká na integráciu",$J807="Integrácia"),"ÁNO","")</f>
        <v/>
      </c>
      <c r="L807" t="str">
        <f>IF(OR($I807="Čaká na biznis",$J807="Biznis",$J807="Švédsky biznis"),"ÁNO","")</f>
        <v/>
      </c>
      <c r="N807" s="2"/>
      <c r="O807" s="3"/>
      <c r="Q807"/>
      <c r="R807" s="3"/>
      <c r="S807" s="3"/>
      <c r="T807"/>
      <c r="U807"/>
      <c r="V807"/>
      <c r="W807"/>
      <c r="Z807"/>
      <c r="AA807"/>
      <c r="AD807"/>
    </row>
    <row r="808" spans="11:30" ht="18" customHeight="1">
      <c r="K808" t="str">
        <f>IF(OR($I808="Čaká na integráciu",$J808="Integrácia"),"ÁNO","")</f>
        <v/>
      </c>
      <c r="L808" t="str">
        <f>IF(OR($I808="Čaká na biznis",$J808="Biznis",$J808="Švédsky biznis"),"ÁNO","")</f>
        <v/>
      </c>
      <c r="N808" s="2"/>
      <c r="O808" s="3"/>
      <c r="Q808"/>
      <c r="R808" s="3"/>
      <c r="S808" s="3"/>
      <c r="T808"/>
      <c r="U808"/>
      <c r="V808"/>
      <c r="W808"/>
      <c r="Z808"/>
      <c r="AA808"/>
      <c r="AD808"/>
    </row>
    <row r="809" spans="11:30" ht="18" customHeight="1">
      <c r="K809" t="str">
        <f>IF(OR($I809="Čaká na integráciu",$J809="Integrácia"),"ÁNO","")</f>
        <v/>
      </c>
      <c r="L809" t="str">
        <f>IF(OR($I809="Čaká na biznis",$J809="Biznis",$J809="Švédsky biznis"),"ÁNO","")</f>
        <v/>
      </c>
      <c r="N809" s="2"/>
      <c r="O809" s="3"/>
      <c r="Q809"/>
      <c r="R809" s="3"/>
      <c r="S809" s="3"/>
      <c r="T809"/>
      <c r="U809"/>
      <c r="V809"/>
      <c r="W809"/>
      <c r="Z809"/>
      <c r="AA809"/>
      <c r="AD809"/>
    </row>
    <row r="810" spans="11:30" ht="18" customHeight="1">
      <c r="K810" t="str">
        <f>IF(OR($I810="Čaká na integráciu",$J810="Integrácia"),"ÁNO","")</f>
        <v/>
      </c>
      <c r="L810" t="str">
        <f>IF(OR($I810="Čaká na biznis",$J810="Biznis",$J810="Švédsky biznis"),"ÁNO","")</f>
        <v/>
      </c>
      <c r="N810" s="2"/>
      <c r="O810" s="3"/>
      <c r="Q810"/>
      <c r="R810" s="3"/>
      <c r="S810" s="3"/>
      <c r="T810"/>
      <c r="U810"/>
      <c r="V810"/>
      <c r="W810"/>
      <c r="Z810"/>
      <c r="AA810"/>
      <c r="AD810"/>
    </row>
    <row r="811" spans="11:30" ht="18" customHeight="1">
      <c r="K811" t="str">
        <f>IF(OR($I811="Čaká na integráciu",$J811="Integrácia"),"ÁNO","")</f>
        <v/>
      </c>
      <c r="L811" t="str">
        <f>IF(OR($I811="Čaká na biznis",$J811="Biznis",$J811="Švédsky biznis"),"ÁNO","")</f>
        <v/>
      </c>
      <c r="N811" s="2"/>
      <c r="O811" s="3"/>
      <c r="Q811"/>
      <c r="R811" s="3"/>
      <c r="S811" s="3"/>
      <c r="T811"/>
      <c r="U811"/>
      <c r="V811"/>
      <c r="W811"/>
      <c r="Z811"/>
      <c r="AA811"/>
      <c r="AD811"/>
    </row>
    <row r="812" spans="11:30" ht="18" customHeight="1">
      <c r="K812" t="str">
        <f>IF(OR($I812="Čaká na integráciu",$J812="Integrácia"),"ÁNO","")</f>
        <v/>
      </c>
      <c r="L812" t="str">
        <f>IF(OR($I812="Čaká na biznis",$J812="Biznis",$J812="Švédsky biznis"),"ÁNO","")</f>
        <v/>
      </c>
      <c r="N812" s="2"/>
      <c r="O812" s="3"/>
      <c r="Q812"/>
      <c r="R812" s="3"/>
      <c r="S812" s="3"/>
      <c r="T812"/>
      <c r="U812"/>
      <c r="V812"/>
      <c r="W812"/>
      <c r="Z812"/>
      <c r="AA812"/>
      <c r="AD812"/>
    </row>
    <row r="813" spans="11:30" ht="18" customHeight="1">
      <c r="K813" t="str">
        <f>IF(OR($I813="Čaká na integráciu",$J813="Integrácia"),"ÁNO","")</f>
        <v/>
      </c>
      <c r="L813" t="str">
        <f>IF(OR($I813="Čaká na biznis",$J813="Biznis",$J813="Švédsky biznis"),"ÁNO","")</f>
        <v/>
      </c>
      <c r="N813" s="2"/>
      <c r="O813" s="3"/>
      <c r="Q813"/>
      <c r="R813" s="3"/>
      <c r="S813" s="3"/>
      <c r="T813"/>
      <c r="U813"/>
      <c r="V813"/>
      <c r="W813"/>
      <c r="Z813"/>
      <c r="AA813"/>
      <c r="AD813"/>
    </row>
    <row r="814" spans="11:30" ht="18" customHeight="1">
      <c r="K814" t="str">
        <f>IF(OR($I814="Čaká na integráciu",$J814="Integrácia"),"ÁNO","")</f>
        <v/>
      </c>
      <c r="L814" t="str">
        <f>IF(OR($I814="Čaká na biznis",$J814="Biznis",$J814="Švédsky biznis"),"ÁNO","")</f>
        <v/>
      </c>
      <c r="N814" s="2"/>
      <c r="O814" s="3"/>
      <c r="Q814"/>
      <c r="R814" s="3"/>
      <c r="S814" s="3"/>
      <c r="T814"/>
      <c r="U814"/>
      <c r="V814"/>
      <c r="W814"/>
      <c r="Z814"/>
      <c r="AA814"/>
      <c r="AD814"/>
    </row>
    <row r="815" spans="11:30" ht="18" customHeight="1">
      <c r="K815" t="str">
        <f>IF(OR($I815="Čaká na integráciu",$J815="Integrácia"),"ÁNO","")</f>
        <v/>
      </c>
      <c r="L815" t="str">
        <f>IF(OR($I815="Čaká na biznis",$J815="Biznis",$J815="Švédsky biznis"),"ÁNO","")</f>
        <v/>
      </c>
      <c r="N815" s="2"/>
      <c r="O815" s="3"/>
      <c r="Q815"/>
      <c r="R815" s="3"/>
      <c r="S815" s="3"/>
      <c r="T815"/>
      <c r="U815"/>
      <c r="V815"/>
      <c r="W815"/>
      <c r="Z815"/>
      <c r="AA815"/>
      <c r="AD815"/>
    </row>
    <row r="816" spans="11:30" ht="18" customHeight="1">
      <c r="K816" t="str">
        <f>IF(OR($I816="Čaká na integráciu",$J816="Integrácia"),"ÁNO","")</f>
        <v/>
      </c>
      <c r="L816" t="str">
        <f>IF(OR($I816="Čaká na biznis",$J816="Biznis",$J816="Švédsky biznis"),"ÁNO","")</f>
        <v/>
      </c>
      <c r="N816" s="2"/>
      <c r="O816" s="3"/>
      <c r="Q816"/>
      <c r="R816" s="3"/>
      <c r="S816" s="3"/>
      <c r="T816"/>
      <c r="U816"/>
      <c r="V816"/>
      <c r="W816"/>
      <c r="Z816"/>
      <c r="AA816"/>
      <c r="AD816"/>
    </row>
    <row r="817" spans="11:30" ht="18" customHeight="1">
      <c r="K817" t="str">
        <f>IF(OR($I817="Čaká na integráciu",$J817="Integrácia"),"ÁNO","")</f>
        <v/>
      </c>
      <c r="L817" t="str">
        <f>IF(OR($I817="Čaká na biznis",$J817="Biznis",$J817="Švédsky biznis"),"ÁNO","")</f>
        <v/>
      </c>
      <c r="N817" s="2"/>
      <c r="O817" s="3"/>
      <c r="Q817"/>
      <c r="R817" s="3"/>
      <c r="S817" s="3"/>
      <c r="T817"/>
      <c r="U817"/>
      <c r="V817"/>
      <c r="W817"/>
      <c r="Z817"/>
      <c r="AA817"/>
      <c r="AD817"/>
    </row>
    <row r="818" spans="11:30" ht="18" customHeight="1">
      <c r="K818" t="str">
        <f>IF(OR($I818="Čaká na integráciu",$J818="Integrácia"),"ÁNO","")</f>
        <v/>
      </c>
      <c r="L818" t="str">
        <f>IF(OR($I818="Čaká na biznis",$J818="Biznis",$J818="Švédsky biznis"),"ÁNO","")</f>
        <v/>
      </c>
      <c r="N818" s="2"/>
      <c r="O818" s="3"/>
      <c r="Q818"/>
      <c r="R818" s="3"/>
      <c r="S818" s="3"/>
      <c r="T818"/>
      <c r="U818"/>
      <c r="V818"/>
      <c r="W818"/>
      <c r="Z818"/>
      <c r="AA818"/>
      <c r="AD818"/>
    </row>
    <row r="819" spans="11:30" ht="18" customHeight="1">
      <c r="K819" t="str">
        <f>IF(OR($I819="Čaká na integráciu",$J819="Integrácia"),"ÁNO","")</f>
        <v/>
      </c>
      <c r="L819" t="str">
        <f>IF(OR($I819="Čaká na biznis",$J819="Biznis",$J819="Švédsky biznis"),"ÁNO","")</f>
        <v/>
      </c>
      <c r="N819" s="2"/>
      <c r="O819" s="3"/>
      <c r="Q819"/>
      <c r="R819" s="3"/>
      <c r="S819" s="3"/>
      <c r="T819"/>
      <c r="U819"/>
      <c r="V819"/>
      <c r="W819"/>
      <c r="Z819"/>
      <c r="AA819"/>
      <c r="AD819"/>
    </row>
    <row r="820" spans="11:30" ht="18" customHeight="1">
      <c r="K820" t="str">
        <f>IF(OR($I820="Čaká na integráciu",$J820="Integrácia"),"ÁNO","")</f>
        <v/>
      </c>
      <c r="L820" t="str">
        <f>IF(OR($I820="Čaká na biznis",$J820="Biznis",$J820="Švédsky biznis"),"ÁNO","")</f>
        <v/>
      </c>
      <c r="N820" s="2"/>
      <c r="O820" s="3"/>
      <c r="Q820"/>
      <c r="R820" s="3"/>
      <c r="S820" s="3"/>
      <c r="T820"/>
      <c r="U820"/>
      <c r="V820"/>
      <c r="W820"/>
      <c r="Z820"/>
      <c r="AA820"/>
      <c r="AD820"/>
    </row>
    <row r="821" spans="11:30" ht="18" customHeight="1">
      <c r="K821" t="str">
        <f>IF(OR($I821="Čaká na integráciu",$J821="Integrácia"),"ÁNO","")</f>
        <v/>
      </c>
      <c r="L821" t="str">
        <f>IF(OR($I821="Čaká na biznis",$J821="Biznis",$J821="Švédsky biznis"),"ÁNO","")</f>
        <v/>
      </c>
      <c r="N821" s="2"/>
      <c r="O821" s="3"/>
      <c r="Q821"/>
      <c r="R821" s="3"/>
      <c r="S821" s="3"/>
      <c r="T821"/>
      <c r="U821"/>
      <c r="V821"/>
      <c r="W821"/>
      <c r="Z821"/>
      <c r="AA821"/>
      <c r="AD821"/>
    </row>
    <row r="822" spans="11:30" ht="18" customHeight="1">
      <c r="K822" t="str">
        <f>IF(OR($I822="Čaká na integráciu",$J822="Integrácia"),"ÁNO","")</f>
        <v/>
      </c>
      <c r="L822" t="str">
        <f>IF(OR($I822="Čaká na biznis",$J822="Biznis",$J822="Švédsky biznis"),"ÁNO","")</f>
        <v/>
      </c>
      <c r="N822" s="2"/>
      <c r="O822" s="3"/>
      <c r="Q822"/>
      <c r="R822" s="3"/>
      <c r="S822" s="3"/>
      <c r="T822"/>
      <c r="U822"/>
      <c r="V822"/>
      <c r="W822"/>
      <c r="Z822"/>
      <c r="AA822"/>
      <c r="AD822"/>
    </row>
    <row r="823" spans="11:30" ht="18" customHeight="1">
      <c r="K823" t="str">
        <f>IF(OR($I823="Čaká na integráciu",$J823="Integrácia"),"ÁNO","")</f>
        <v/>
      </c>
      <c r="L823" t="str">
        <f>IF(OR($I823="Čaká na biznis",$J823="Biznis",$J823="Švédsky biznis"),"ÁNO","")</f>
        <v/>
      </c>
      <c r="N823" s="2"/>
      <c r="O823" s="3"/>
      <c r="Q823"/>
      <c r="R823" s="3"/>
      <c r="S823" s="3"/>
      <c r="T823"/>
      <c r="U823"/>
      <c r="V823"/>
      <c r="W823"/>
      <c r="Z823"/>
      <c r="AA823"/>
      <c r="AD823"/>
    </row>
    <row r="824" spans="11:30" ht="18" customHeight="1">
      <c r="K824" t="str">
        <f>IF(OR($I824="Čaká na integráciu",$J824="Integrácia"),"ÁNO","")</f>
        <v/>
      </c>
      <c r="L824" t="str">
        <f>IF(OR($I824="Čaká na biznis",$J824="Biznis",$J824="Švédsky biznis"),"ÁNO","")</f>
        <v/>
      </c>
      <c r="N824" s="2"/>
      <c r="O824" s="3"/>
      <c r="Q824"/>
      <c r="R824" s="3"/>
      <c r="S824" s="3"/>
      <c r="T824"/>
      <c r="U824"/>
      <c r="V824"/>
      <c r="W824"/>
      <c r="Z824"/>
      <c r="AA824"/>
      <c r="AD824"/>
    </row>
    <row r="825" spans="11:30" ht="18" customHeight="1">
      <c r="K825" t="str">
        <f>IF(OR($I825="Čaká na integráciu",$J825="Integrácia"),"ÁNO","")</f>
        <v/>
      </c>
      <c r="L825" t="str">
        <f>IF(OR($I825="Čaká na biznis",$J825="Biznis",$J825="Švédsky biznis"),"ÁNO","")</f>
        <v/>
      </c>
      <c r="N825" s="2"/>
      <c r="O825" s="3"/>
      <c r="Q825"/>
      <c r="R825" s="3"/>
      <c r="S825" s="3"/>
      <c r="T825"/>
      <c r="U825"/>
      <c r="V825"/>
      <c r="W825"/>
      <c r="Z825"/>
      <c r="AA825"/>
      <c r="AD825"/>
    </row>
    <row r="826" spans="11:30" ht="18" customHeight="1">
      <c r="K826" t="str">
        <f>IF(OR($I826="Čaká na integráciu",$J826="Integrácia"),"ÁNO","")</f>
        <v/>
      </c>
      <c r="L826" t="str">
        <f>IF(OR($I826="Čaká na biznis",$J826="Biznis",$J826="Švédsky biznis"),"ÁNO","")</f>
        <v/>
      </c>
      <c r="N826" s="2"/>
      <c r="O826" s="3"/>
      <c r="Q826"/>
      <c r="R826" s="3"/>
      <c r="S826" s="3"/>
      <c r="T826"/>
      <c r="U826"/>
      <c r="V826"/>
      <c r="W826"/>
      <c r="Z826"/>
      <c r="AA826"/>
      <c r="AD826"/>
    </row>
    <row r="827" spans="11:30" ht="18" customHeight="1">
      <c r="K827" t="str">
        <f>IF(OR($I827="Čaká na integráciu",$J827="Integrácia"),"ÁNO","")</f>
        <v/>
      </c>
      <c r="L827" t="str">
        <f>IF(OR($I827="Čaká na biznis",$J827="Biznis",$J827="Švédsky biznis"),"ÁNO","")</f>
        <v/>
      </c>
      <c r="N827" s="2"/>
      <c r="O827" s="3"/>
      <c r="Q827"/>
      <c r="R827" s="3"/>
      <c r="S827" s="3"/>
      <c r="T827"/>
      <c r="U827"/>
      <c r="V827"/>
      <c r="W827"/>
      <c r="Z827"/>
      <c r="AA827"/>
      <c r="AD827"/>
    </row>
    <row r="828" spans="11:30" ht="18" customHeight="1">
      <c r="K828" t="str">
        <f>IF(OR($I828="Čaká na integráciu",$J828="Integrácia"),"ÁNO","")</f>
        <v/>
      </c>
      <c r="L828" t="str">
        <f>IF(OR($I828="Čaká na biznis",$J828="Biznis",$J828="Švédsky biznis"),"ÁNO","")</f>
        <v/>
      </c>
      <c r="N828" s="2"/>
      <c r="O828" s="3"/>
      <c r="Q828"/>
      <c r="R828" s="3"/>
      <c r="S828" s="3"/>
      <c r="T828"/>
      <c r="U828"/>
      <c r="V828"/>
      <c r="W828"/>
      <c r="Z828"/>
      <c r="AA828"/>
      <c r="AD828"/>
    </row>
    <row r="829" spans="11:30" ht="18" customHeight="1">
      <c r="K829" t="str">
        <f>IF(OR($I829="Čaká na integráciu",$J829="Integrácia"),"ÁNO","")</f>
        <v/>
      </c>
      <c r="L829" t="str">
        <f>IF(OR($I829="Čaká na biznis",$J829="Biznis",$J829="Švédsky biznis"),"ÁNO","")</f>
        <v/>
      </c>
      <c r="N829" s="2"/>
      <c r="O829" s="3"/>
      <c r="Q829"/>
      <c r="R829" s="3"/>
      <c r="S829" s="3"/>
      <c r="T829"/>
      <c r="U829"/>
      <c r="V829"/>
      <c r="W829"/>
      <c r="Z829"/>
      <c r="AA829"/>
      <c r="AD829"/>
    </row>
    <row r="830" spans="11:30" ht="18" customHeight="1">
      <c r="K830" t="str">
        <f>IF(OR($I830="Čaká na integráciu",$J830="Integrácia"),"ÁNO","")</f>
        <v/>
      </c>
      <c r="L830" t="str">
        <f>IF(OR($I830="Čaká na biznis",$J830="Biznis",$J830="Švédsky biznis"),"ÁNO","")</f>
        <v/>
      </c>
      <c r="N830" s="2"/>
      <c r="O830" s="3"/>
      <c r="Q830"/>
      <c r="R830" s="3"/>
      <c r="S830" s="3"/>
      <c r="T830"/>
      <c r="U830"/>
      <c r="V830"/>
      <c r="W830"/>
      <c r="Z830"/>
      <c r="AA830"/>
      <c r="AD830"/>
    </row>
    <row r="831" spans="11:30" ht="18" customHeight="1">
      <c r="K831" t="str">
        <f>IF(OR($I831="Čaká na integráciu",$J831="Integrácia"),"ÁNO","")</f>
        <v/>
      </c>
      <c r="L831" t="str">
        <f>IF(OR($I831="Čaká na biznis",$J831="Biznis",$J831="Švédsky biznis"),"ÁNO","")</f>
        <v/>
      </c>
      <c r="N831" s="2"/>
      <c r="O831" s="3"/>
      <c r="Q831"/>
      <c r="R831" s="3"/>
      <c r="S831" s="3"/>
      <c r="T831"/>
      <c r="U831"/>
      <c r="V831"/>
      <c r="W831"/>
      <c r="Z831"/>
      <c r="AA831"/>
      <c r="AD831"/>
    </row>
    <row r="832" spans="11:30" ht="18" customHeight="1">
      <c r="K832" t="str">
        <f>IF(OR($I832="Čaká na integráciu",$J832="Integrácia"),"ÁNO","")</f>
        <v/>
      </c>
      <c r="L832" t="str">
        <f>IF(OR($I832="Čaká na biznis",$J832="Biznis",$J832="Švédsky biznis"),"ÁNO","")</f>
        <v/>
      </c>
      <c r="N832" s="2"/>
      <c r="O832" s="3"/>
      <c r="Q832"/>
      <c r="R832" s="3"/>
      <c r="S832" s="3"/>
      <c r="T832"/>
      <c r="U832"/>
      <c r="V832"/>
      <c r="W832"/>
      <c r="Z832"/>
      <c r="AA832"/>
      <c r="AD832"/>
    </row>
    <row r="833" spans="11:30" ht="18" customHeight="1">
      <c r="K833" t="str">
        <f>IF(OR($I833="Čaká na integráciu",$J833="Integrácia"),"ÁNO","")</f>
        <v/>
      </c>
      <c r="L833" t="str">
        <f>IF(OR($I833="Čaká na biznis",$J833="Biznis",$J833="Švédsky biznis"),"ÁNO","")</f>
        <v/>
      </c>
      <c r="N833" s="2"/>
      <c r="O833" s="3"/>
      <c r="Q833"/>
      <c r="R833" s="3"/>
      <c r="S833" s="3"/>
      <c r="T833"/>
      <c r="U833"/>
      <c r="V833"/>
      <c r="W833"/>
      <c r="Z833"/>
      <c r="AA833"/>
      <c r="AD833"/>
    </row>
    <row r="834" spans="11:30" ht="18" customHeight="1">
      <c r="K834" t="str">
        <f>IF(OR($I834="Čaká na integráciu",$J834="Integrácia"),"ÁNO","")</f>
        <v/>
      </c>
      <c r="L834" t="str">
        <f>IF(OR($I834="Čaká na biznis",$J834="Biznis",$J834="Švédsky biznis"),"ÁNO","")</f>
        <v/>
      </c>
      <c r="N834" s="2"/>
      <c r="O834" s="3"/>
      <c r="Q834"/>
      <c r="R834" s="3"/>
      <c r="S834" s="3"/>
      <c r="T834"/>
      <c r="U834"/>
      <c r="V834"/>
      <c r="W834"/>
      <c r="Z834"/>
      <c r="AA834"/>
      <c r="AD834"/>
    </row>
    <row r="835" spans="11:30" ht="18" customHeight="1">
      <c r="K835" t="str">
        <f>IF(OR($I835="Čaká na integráciu",$J835="Integrácia"),"ÁNO","")</f>
        <v/>
      </c>
      <c r="L835" t="str">
        <f>IF(OR($I835="Čaká na biznis",$J835="Biznis",$J835="Švédsky biznis"),"ÁNO","")</f>
        <v/>
      </c>
      <c r="N835" s="2"/>
      <c r="O835" s="3"/>
      <c r="Q835"/>
      <c r="R835" s="3"/>
      <c r="S835" s="3"/>
      <c r="T835"/>
      <c r="U835"/>
      <c r="V835"/>
      <c r="W835"/>
      <c r="Z835"/>
      <c r="AA835"/>
      <c r="AD835"/>
    </row>
    <row r="836" spans="11:30" ht="18" customHeight="1">
      <c r="K836" t="str">
        <f>IF(OR($I836="Čaká na integráciu",$J836="Integrácia"),"ÁNO","")</f>
        <v/>
      </c>
      <c r="L836" t="str">
        <f>IF(OR($I836="Čaká na biznis",$J836="Biznis",$J836="Švédsky biznis"),"ÁNO","")</f>
        <v/>
      </c>
      <c r="N836" s="2"/>
      <c r="O836" s="3"/>
      <c r="Q836"/>
      <c r="R836" s="3"/>
      <c r="S836" s="3"/>
      <c r="T836"/>
      <c r="U836"/>
      <c r="V836"/>
      <c r="W836"/>
      <c r="Z836"/>
      <c r="AA836"/>
      <c r="AD836"/>
    </row>
    <row r="837" spans="11:30" ht="18" customHeight="1">
      <c r="K837" t="str">
        <f>IF(OR($I837="Čaká na integráciu",$J837="Integrácia"),"ÁNO","")</f>
        <v/>
      </c>
      <c r="L837" t="str">
        <f>IF(OR($I837="Čaká na biznis",$J837="Biznis",$J837="Švédsky biznis"),"ÁNO","")</f>
        <v/>
      </c>
      <c r="N837" s="2"/>
      <c r="O837" s="3"/>
      <c r="Q837"/>
      <c r="R837" s="3"/>
      <c r="S837" s="3"/>
      <c r="T837"/>
      <c r="U837"/>
      <c r="V837"/>
      <c r="W837"/>
      <c r="Z837"/>
      <c r="AA837"/>
      <c r="AD837"/>
    </row>
    <row r="838" spans="11:30" ht="18" customHeight="1">
      <c r="K838" t="str">
        <f>IF(OR($I838="Čaká na integráciu",$J838="Integrácia"),"ÁNO","")</f>
        <v/>
      </c>
      <c r="L838" t="str">
        <f>IF(OR($I838="Čaká na biznis",$J838="Biznis",$J838="Švédsky biznis"),"ÁNO","")</f>
        <v/>
      </c>
      <c r="N838" s="2"/>
      <c r="O838" s="3"/>
      <c r="Q838"/>
      <c r="R838" s="3"/>
      <c r="S838" s="3"/>
      <c r="T838"/>
      <c r="U838"/>
      <c r="V838"/>
      <c r="W838"/>
      <c r="Z838"/>
      <c r="AA838"/>
      <c r="AD838"/>
    </row>
    <row r="839" spans="11:30" ht="18" customHeight="1">
      <c r="K839" t="str">
        <f>IF(OR($I839="Čaká na integráciu",$J839="Integrácia"),"ÁNO","")</f>
        <v/>
      </c>
      <c r="L839" t="str">
        <f>IF(OR($I839="Čaká na biznis",$J839="Biznis",$J839="Švédsky biznis"),"ÁNO","")</f>
        <v/>
      </c>
      <c r="N839" s="2"/>
      <c r="O839" s="3"/>
      <c r="Q839"/>
      <c r="R839" s="3"/>
      <c r="S839" s="3"/>
      <c r="T839"/>
      <c r="U839"/>
      <c r="V839"/>
      <c r="W839"/>
      <c r="Z839"/>
      <c r="AA839"/>
      <c r="AD839"/>
    </row>
    <row r="840" spans="11:30" ht="18" customHeight="1">
      <c r="K840" t="str">
        <f>IF(OR($I840="Čaká na integráciu",$J840="Integrácia"),"ÁNO","")</f>
        <v/>
      </c>
      <c r="L840" t="str">
        <f>IF(OR($I840="Čaká na biznis",$J840="Biznis",$J840="Švédsky biznis"),"ÁNO","")</f>
        <v/>
      </c>
      <c r="N840" s="2"/>
      <c r="O840" s="3"/>
      <c r="Q840"/>
      <c r="R840" s="3"/>
      <c r="S840" s="3"/>
      <c r="T840"/>
      <c r="U840"/>
      <c r="V840"/>
      <c r="W840"/>
      <c r="Z840"/>
      <c r="AA840"/>
      <c r="AD840"/>
    </row>
    <row r="841" spans="11:30" ht="18" customHeight="1">
      <c r="K841" t="str">
        <f>IF(OR($I841="Čaká na integráciu",$J841="Integrácia"),"ÁNO","")</f>
        <v/>
      </c>
      <c r="L841" t="str">
        <f>IF(OR($I841="Čaká na biznis",$J841="Biznis",$J841="Švédsky biznis"),"ÁNO","")</f>
        <v/>
      </c>
      <c r="N841" s="2"/>
      <c r="O841" s="3"/>
      <c r="Q841"/>
      <c r="R841" s="3"/>
      <c r="S841" s="3"/>
      <c r="T841"/>
      <c r="U841"/>
      <c r="V841"/>
      <c r="W841"/>
      <c r="Z841"/>
      <c r="AA841"/>
      <c r="AD841"/>
    </row>
    <row r="842" spans="11:30" ht="18" customHeight="1">
      <c r="K842" t="str">
        <f>IF(OR($I842="Čaká na integráciu",$J842="Integrácia"),"ÁNO","")</f>
        <v/>
      </c>
      <c r="L842" t="str">
        <f>IF(OR($I842="Čaká na biznis",$J842="Biznis",$J842="Švédsky biznis"),"ÁNO","")</f>
        <v/>
      </c>
      <c r="N842" s="2"/>
      <c r="O842" s="3"/>
      <c r="Q842"/>
      <c r="R842" s="3"/>
      <c r="S842" s="3"/>
      <c r="T842"/>
      <c r="U842"/>
      <c r="V842"/>
      <c r="W842"/>
      <c r="Z842"/>
      <c r="AA842"/>
      <c r="AD842"/>
    </row>
    <row r="843" spans="11:30" ht="18" customHeight="1">
      <c r="K843" t="str">
        <f>IF(OR($I843="Čaká na integráciu",$J843="Integrácia"),"ÁNO","")</f>
        <v/>
      </c>
      <c r="L843" t="str">
        <f>IF(OR($I843="Čaká na biznis",$J843="Biznis",$J843="Švédsky biznis"),"ÁNO","")</f>
        <v/>
      </c>
      <c r="N843" s="2"/>
      <c r="O843" s="3"/>
      <c r="Q843"/>
      <c r="R843" s="3"/>
      <c r="S843" s="3"/>
      <c r="T843"/>
      <c r="U843"/>
      <c r="V843"/>
      <c r="W843"/>
      <c r="Z843"/>
      <c r="AA843"/>
      <c r="AD843"/>
    </row>
    <row r="844" spans="11:30" ht="18" customHeight="1">
      <c r="K844" t="str">
        <f>IF(OR($I844="Čaká na integráciu",$J844="Integrácia"),"ÁNO","")</f>
        <v/>
      </c>
      <c r="L844" t="str">
        <f>IF(OR($I844="Čaká na biznis",$J844="Biznis",$J844="Švédsky biznis"),"ÁNO","")</f>
        <v/>
      </c>
      <c r="N844" s="2"/>
      <c r="O844" s="3"/>
      <c r="Q844"/>
      <c r="R844" s="3"/>
      <c r="S844" s="3"/>
      <c r="T844"/>
      <c r="U844"/>
      <c r="V844"/>
      <c r="W844"/>
      <c r="Z844"/>
      <c r="AA844"/>
      <c r="AD844"/>
    </row>
    <row r="845" spans="11:30" ht="18" customHeight="1">
      <c r="K845" t="str">
        <f>IF(OR($I845="Čaká na integráciu",$J845="Integrácia"),"ÁNO","")</f>
        <v/>
      </c>
      <c r="L845" t="str">
        <f>IF(OR($I845="Čaká na biznis",$J845="Biznis",$J845="Švédsky biznis"),"ÁNO","")</f>
        <v/>
      </c>
      <c r="N845" s="2"/>
      <c r="O845" s="3"/>
      <c r="Q845"/>
      <c r="R845" s="3"/>
      <c r="S845" s="3"/>
      <c r="T845"/>
      <c r="U845"/>
      <c r="V845"/>
      <c r="W845"/>
      <c r="Z845"/>
      <c r="AA845"/>
      <c r="AD845"/>
    </row>
    <row r="846" spans="11:30" ht="18" customHeight="1">
      <c r="K846" t="str">
        <f>IF(OR($I846="Čaká na integráciu",$J846="Integrácia"),"ÁNO","")</f>
        <v/>
      </c>
      <c r="L846" t="str">
        <f>IF(OR($I846="Čaká na biznis",$J846="Biznis",$J846="Švédsky biznis"),"ÁNO","")</f>
        <v/>
      </c>
      <c r="N846" s="2"/>
      <c r="O846" s="3"/>
      <c r="Q846"/>
      <c r="R846" s="3"/>
      <c r="S846" s="3"/>
      <c r="T846"/>
      <c r="U846"/>
      <c r="V846"/>
      <c r="W846"/>
      <c r="Z846"/>
      <c r="AA846"/>
      <c r="AD846"/>
    </row>
    <row r="847" spans="11:30" ht="18" customHeight="1">
      <c r="K847" t="str">
        <f>IF(OR($I847="Čaká na integráciu",$J847="Integrácia"),"ÁNO","")</f>
        <v/>
      </c>
      <c r="L847" t="str">
        <f>IF(OR($I847="Čaká na biznis",$J847="Biznis",$J847="Švédsky biznis"),"ÁNO","")</f>
        <v/>
      </c>
      <c r="N847" s="2"/>
      <c r="O847" s="3"/>
      <c r="Q847"/>
      <c r="R847" s="3"/>
      <c r="S847" s="3"/>
      <c r="T847"/>
      <c r="U847"/>
      <c r="V847"/>
      <c r="W847"/>
      <c r="Z847"/>
      <c r="AA847"/>
      <c r="AD847"/>
    </row>
    <row r="848" spans="11:30" ht="18" customHeight="1">
      <c r="K848" t="str">
        <f>IF(OR($I848="Čaká na integráciu",$J848="Integrácia"),"ÁNO","")</f>
        <v/>
      </c>
      <c r="L848" t="str">
        <f>IF(OR($I848="Čaká na biznis",$J848="Biznis",$J848="Švédsky biznis"),"ÁNO","")</f>
        <v/>
      </c>
      <c r="N848" s="2"/>
      <c r="O848" s="3"/>
      <c r="Q848"/>
      <c r="R848" s="3"/>
      <c r="S848" s="3"/>
      <c r="T848"/>
      <c r="U848"/>
      <c r="V848"/>
      <c r="W848"/>
      <c r="Z848"/>
      <c r="AA848"/>
      <c r="AD848"/>
    </row>
    <row r="849" spans="11:30" ht="18" customHeight="1">
      <c r="K849" t="str">
        <f>IF(OR($I849="Čaká na integráciu",$J849="Integrácia"),"ÁNO","")</f>
        <v/>
      </c>
      <c r="L849" t="str">
        <f>IF(OR($I849="Čaká na biznis",$J849="Biznis",$J849="Švédsky biznis"),"ÁNO","")</f>
        <v/>
      </c>
      <c r="N849" s="2"/>
      <c r="O849" s="3"/>
      <c r="Q849"/>
      <c r="R849" s="3"/>
      <c r="S849" s="3"/>
      <c r="T849"/>
      <c r="U849"/>
      <c r="V849"/>
      <c r="W849"/>
      <c r="Z849"/>
      <c r="AA849"/>
      <c r="AD849"/>
    </row>
    <row r="850" spans="11:30" ht="18" customHeight="1">
      <c r="K850" t="str">
        <f>IF(OR($I850="Čaká na integráciu",$J850="Integrácia"),"ÁNO","")</f>
        <v/>
      </c>
      <c r="L850" t="str">
        <f>IF(OR($I850="Čaká na biznis",$J850="Biznis",$J850="Švédsky biznis"),"ÁNO","")</f>
        <v/>
      </c>
      <c r="N850" s="2"/>
      <c r="O850" s="3"/>
      <c r="Q850"/>
      <c r="R850" s="3"/>
      <c r="S850" s="3"/>
      <c r="T850"/>
      <c r="U850"/>
      <c r="V850"/>
      <c r="W850"/>
      <c r="Z850"/>
      <c r="AA850"/>
      <c r="AD850"/>
    </row>
    <row r="851" spans="11:30" ht="18" customHeight="1">
      <c r="K851" t="str">
        <f>IF(OR($I851="Čaká na integráciu",$J851="Integrácia"),"ÁNO","")</f>
        <v/>
      </c>
      <c r="L851" t="str">
        <f>IF(OR($I851="Čaká na biznis",$J851="Biznis",$J851="Švédsky biznis"),"ÁNO","")</f>
        <v/>
      </c>
      <c r="N851" s="2"/>
      <c r="O851" s="3"/>
      <c r="Q851"/>
      <c r="R851" s="3"/>
      <c r="S851" s="3"/>
      <c r="T851"/>
      <c r="U851"/>
      <c r="V851"/>
      <c r="W851"/>
      <c r="Z851"/>
      <c r="AA851"/>
      <c r="AD851"/>
    </row>
    <row r="852" spans="11:30" ht="18" customHeight="1">
      <c r="K852" t="str">
        <f>IF(OR($I852="Čaká na integráciu",$J852="Integrácia"),"ÁNO","")</f>
        <v/>
      </c>
      <c r="L852" t="str">
        <f>IF(OR($I852="Čaká na biznis",$J852="Biznis",$J852="Švédsky biznis"),"ÁNO","")</f>
        <v/>
      </c>
      <c r="N852" s="2"/>
      <c r="O852" s="3"/>
      <c r="Q852"/>
      <c r="R852" s="3"/>
      <c r="S852" s="3"/>
      <c r="T852"/>
      <c r="U852"/>
      <c r="V852"/>
      <c r="W852"/>
      <c r="Z852"/>
      <c r="AA852"/>
      <c r="AD852"/>
    </row>
    <row r="853" spans="11:30" ht="18" customHeight="1">
      <c r="K853" t="str">
        <f>IF(OR($I853="Čaká na integráciu",$J853="Integrácia"),"ÁNO","")</f>
        <v/>
      </c>
      <c r="L853" t="str">
        <f>IF(OR($I853="Čaká na biznis",$J853="Biznis",$J853="Švédsky biznis"),"ÁNO","")</f>
        <v/>
      </c>
      <c r="N853" s="2"/>
      <c r="O853" s="3"/>
      <c r="Q853"/>
      <c r="R853" s="3"/>
      <c r="S853" s="3"/>
      <c r="T853"/>
      <c r="U853"/>
      <c r="V853"/>
      <c r="W853"/>
      <c r="Z853"/>
      <c r="AA853"/>
      <c r="AD853"/>
    </row>
    <row r="854" spans="11:30" ht="18" customHeight="1">
      <c r="K854" t="str">
        <f>IF(OR($I854="Čaká na integráciu",$J854="Integrácia"),"ÁNO","")</f>
        <v/>
      </c>
      <c r="L854" t="str">
        <f>IF(OR($I854="Čaká na biznis",$J854="Biznis",$J854="Švédsky biznis"),"ÁNO","")</f>
        <v/>
      </c>
      <c r="N854" s="2"/>
      <c r="O854" s="3"/>
      <c r="Q854"/>
      <c r="R854" s="3"/>
      <c r="S854" s="3"/>
      <c r="T854"/>
      <c r="U854"/>
      <c r="V854"/>
      <c r="W854"/>
      <c r="Z854"/>
      <c r="AA854"/>
      <c r="AD854"/>
    </row>
    <row r="855" spans="11:30" ht="18" customHeight="1">
      <c r="K855" t="str">
        <f>IF(OR($I855="Čaká na integráciu",$J855="Integrácia"),"ÁNO","")</f>
        <v/>
      </c>
      <c r="L855" t="str">
        <f>IF(OR($I855="Čaká na biznis",$J855="Biznis",$J855="Švédsky biznis"),"ÁNO","")</f>
        <v/>
      </c>
      <c r="N855" s="2"/>
      <c r="O855" s="3"/>
      <c r="Q855"/>
      <c r="R855" s="3"/>
      <c r="S855" s="3"/>
      <c r="T855"/>
      <c r="U855"/>
      <c r="V855"/>
      <c r="W855"/>
      <c r="Z855"/>
      <c r="AA855"/>
      <c r="AD855"/>
    </row>
    <row r="856" spans="11:30" ht="18" customHeight="1">
      <c r="K856" t="str">
        <f>IF(OR($I856="Čaká na integráciu",$J856="Integrácia"),"ÁNO","")</f>
        <v/>
      </c>
      <c r="L856" t="str">
        <f>IF(OR($I856="Čaká na biznis",$J856="Biznis",$J856="Švédsky biznis"),"ÁNO","")</f>
        <v/>
      </c>
      <c r="N856" s="2"/>
      <c r="O856" s="3"/>
      <c r="Q856"/>
      <c r="R856" s="3"/>
      <c r="S856" s="3"/>
      <c r="T856"/>
      <c r="U856"/>
      <c r="V856"/>
      <c r="W856"/>
      <c r="Z856"/>
      <c r="AA856"/>
      <c r="AD856"/>
    </row>
    <row r="857" spans="11:30" ht="18" customHeight="1">
      <c r="K857" t="str">
        <f>IF(OR($I857="Čaká na integráciu",$J857="Integrácia"),"ÁNO","")</f>
        <v/>
      </c>
      <c r="L857" t="str">
        <f>IF(OR($I857="Čaká na biznis",$J857="Biznis",$J857="Švédsky biznis"),"ÁNO","")</f>
        <v/>
      </c>
      <c r="N857" s="2"/>
      <c r="O857" s="3"/>
      <c r="Q857"/>
      <c r="R857" s="3"/>
      <c r="S857" s="3"/>
      <c r="T857"/>
      <c r="U857"/>
      <c r="V857"/>
      <c r="W857"/>
      <c r="Z857"/>
      <c r="AA857"/>
      <c r="AD857"/>
    </row>
    <row r="858" spans="11:30" ht="18" customHeight="1">
      <c r="K858" t="str">
        <f>IF(OR($I858="Čaká na integráciu",$J858="Integrácia"),"ÁNO","")</f>
        <v/>
      </c>
      <c r="L858" t="str">
        <f>IF(OR($I858="Čaká na biznis",$J858="Biznis",$J858="Švédsky biznis"),"ÁNO","")</f>
        <v/>
      </c>
      <c r="N858" s="2"/>
      <c r="O858" s="3"/>
      <c r="Q858"/>
      <c r="R858" s="3"/>
      <c r="S858" s="3"/>
      <c r="T858"/>
      <c r="U858"/>
      <c r="V858"/>
      <c r="W858"/>
      <c r="Z858"/>
      <c r="AA858"/>
      <c r="AD858"/>
    </row>
    <row r="859" spans="11:30" ht="18" customHeight="1">
      <c r="K859" t="str">
        <f>IF(OR($I859="Čaká na integráciu",$J859="Integrácia"),"ÁNO","")</f>
        <v/>
      </c>
      <c r="L859" t="str">
        <f>IF(OR($I859="Čaká na biznis",$J859="Biznis",$J859="Švédsky biznis"),"ÁNO","")</f>
        <v/>
      </c>
      <c r="N859" s="2"/>
      <c r="O859" s="3"/>
      <c r="Q859"/>
      <c r="R859" s="3"/>
      <c r="S859" s="3"/>
      <c r="T859"/>
      <c r="U859"/>
      <c r="V859"/>
      <c r="W859"/>
      <c r="Z859"/>
      <c r="AA859"/>
      <c r="AD859"/>
    </row>
    <row r="860" spans="11:30" ht="18" customHeight="1">
      <c r="K860" t="str">
        <f>IF(OR($I860="Čaká na integráciu",$J860="Integrácia"),"ÁNO","")</f>
        <v/>
      </c>
      <c r="L860" t="str">
        <f>IF(OR($I860="Čaká na biznis",$J860="Biznis",$J860="Švédsky biznis"),"ÁNO","")</f>
        <v/>
      </c>
      <c r="N860" s="2"/>
      <c r="O860" s="3"/>
      <c r="Q860"/>
      <c r="R860" s="3"/>
      <c r="S860" s="3"/>
      <c r="T860"/>
      <c r="U860"/>
      <c r="V860"/>
      <c r="W860"/>
      <c r="Z860"/>
      <c r="AA860"/>
      <c r="AD860"/>
    </row>
    <row r="861" spans="11:30" ht="18" customHeight="1">
      <c r="K861" t="str">
        <f>IF(OR($I861="Čaká na integráciu",$J861="Integrácia"),"ÁNO","")</f>
        <v/>
      </c>
      <c r="L861" t="str">
        <f>IF(OR($I861="Čaká na biznis",$J861="Biznis",$J861="Švédsky biznis"),"ÁNO","")</f>
        <v/>
      </c>
      <c r="N861" s="2"/>
      <c r="O861" s="3"/>
      <c r="Q861"/>
      <c r="R861" s="3"/>
      <c r="S861" s="3"/>
      <c r="T861"/>
      <c r="U861"/>
      <c r="V861"/>
      <c r="W861"/>
      <c r="Z861"/>
      <c r="AA861"/>
      <c r="AD861"/>
    </row>
    <row r="862" spans="11:30" ht="18" customHeight="1">
      <c r="K862" t="str">
        <f>IF(OR($I862="Čaká na integráciu",$J862="Integrácia"),"ÁNO","")</f>
        <v/>
      </c>
      <c r="L862" t="str">
        <f>IF(OR($I862="Čaká na biznis",$J862="Biznis",$J862="Švédsky biznis"),"ÁNO","")</f>
        <v/>
      </c>
      <c r="N862" s="2"/>
      <c r="O862" s="3"/>
      <c r="Q862"/>
      <c r="R862" s="3"/>
      <c r="S862" s="3"/>
      <c r="T862"/>
      <c r="U862"/>
      <c r="V862"/>
      <c r="W862"/>
      <c r="Z862"/>
      <c r="AA862"/>
      <c r="AD862"/>
    </row>
    <row r="863" spans="11:30" ht="18" customHeight="1">
      <c r="K863" t="str">
        <f>IF(OR($I863="Čaká na integráciu",$J863="Integrácia"),"ÁNO","")</f>
        <v/>
      </c>
      <c r="L863" t="str">
        <f>IF(OR($I863="Čaká na biznis",$J863="Biznis",$J863="Švédsky biznis"),"ÁNO","")</f>
        <v/>
      </c>
      <c r="N863" s="2"/>
      <c r="O863" s="3"/>
      <c r="Q863"/>
      <c r="R863" s="3"/>
      <c r="S863" s="3"/>
      <c r="T863"/>
      <c r="U863"/>
      <c r="V863"/>
      <c r="W863"/>
      <c r="Z863"/>
      <c r="AA863"/>
      <c r="AD863"/>
    </row>
    <row r="864" spans="11:30" ht="18" customHeight="1">
      <c r="K864" t="str">
        <f>IF(OR($I864="Čaká na integráciu",$J864="Integrácia"),"ÁNO","")</f>
        <v/>
      </c>
      <c r="L864" t="str">
        <f>IF(OR($I864="Čaká na biznis",$J864="Biznis",$J864="Švédsky biznis"),"ÁNO","")</f>
        <v/>
      </c>
      <c r="N864" s="2"/>
      <c r="O864" s="3"/>
      <c r="Q864"/>
      <c r="R864" s="3"/>
      <c r="S864" s="3"/>
      <c r="T864"/>
      <c r="U864"/>
      <c r="V864"/>
      <c r="W864"/>
      <c r="Z864"/>
      <c r="AA864"/>
      <c r="AD864"/>
    </row>
    <row r="865" spans="11:30" ht="18" customHeight="1">
      <c r="K865" t="str">
        <f>IF(OR($I865="Čaká na integráciu",$J865="Integrácia"),"ÁNO","")</f>
        <v/>
      </c>
      <c r="L865" t="str">
        <f>IF(OR($I865="Čaká na biznis",$J865="Biznis",$J865="Švédsky biznis"),"ÁNO","")</f>
        <v/>
      </c>
      <c r="N865" s="2"/>
      <c r="O865" s="3"/>
      <c r="Q865"/>
      <c r="R865" s="3"/>
      <c r="S865" s="3"/>
      <c r="T865"/>
      <c r="U865"/>
      <c r="V865"/>
      <c r="W865"/>
      <c r="Z865"/>
      <c r="AA865"/>
      <c r="AD865"/>
    </row>
    <row r="866" spans="11:30" ht="18" customHeight="1">
      <c r="K866" t="str">
        <f>IF(OR($I866="Čaká na integráciu",$J866="Integrácia"),"ÁNO","")</f>
        <v/>
      </c>
      <c r="L866" t="str">
        <f>IF(OR($I866="Čaká na biznis",$J866="Biznis",$J866="Švédsky biznis"),"ÁNO","")</f>
        <v/>
      </c>
      <c r="N866" s="2"/>
      <c r="O866" s="3"/>
      <c r="Q866"/>
      <c r="R866" s="3"/>
      <c r="S866" s="3"/>
      <c r="T866"/>
      <c r="U866"/>
      <c r="V866"/>
      <c r="W866"/>
      <c r="Z866"/>
      <c r="AA866"/>
      <c r="AD866"/>
    </row>
    <row r="867" spans="11:30" ht="18" customHeight="1">
      <c r="K867" t="str">
        <f>IF(OR($I867="Čaká na integráciu",$J867="Integrácia"),"ÁNO","")</f>
        <v/>
      </c>
      <c r="L867" t="str">
        <f>IF(OR($I867="Čaká na biznis",$J867="Biznis",$J867="Švédsky biznis"),"ÁNO","")</f>
        <v/>
      </c>
      <c r="N867" s="2"/>
      <c r="O867" s="3"/>
      <c r="Q867"/>
      <c r="R867" s="3"/>
      <c r="S867" s="3"/>
      <c r="T867"/>
      <c r="U867"/>
      <c r="V867"/>
      <c r="W867"/>
      <c r="Z867"/>
      <c r="AA867"/>
      <c r="AD867"/>
    </row>
    <row r="868" spans="11:30" ht="18" customHeight="1">
      <c r="K868" t="str">
        <f>IF(OR($I868="Čaká na integráciu",$J868="Integrácia"),"ÁNO","")</f>
        <v/>
      </c>
      <c r="L868" t="str">
        <f>IF(OR($I868="Čaká na biznis",$J868="Biznis",$J868="Švédsky biznis"),"ÁNO","")</f>
        <v/>
      </c>
      <c r="N868" s="2"/>
      <c r="O868" s="3"/>
      <c r="Q868"/>
      <c r="R868" s="3"/>
      <c r="S868" s="3"/>
      <c r="T868"/>
      <c r="U868"/>
      <c r="V868"/>
      <c r="W868"/>
      <c r="Z868"/>
      <c r="AA868"/>
      <c r="AD868"/>
    </row>
    <row r="869" spans="11:30" ht="18" customHeight="1">
      <c r="K869" t="str">
        <f>IF(OR($I869="Čaká na integráciu",$J869="Integrácia"),"ÁNO","")</f>
        <v/>
      </c>
      <c r="L869" t="str">
        <f>IF(OR($I869="Čaká na biznis",$J869="Biznis",$J869="Švédsky biznis"),"ÁNO","")</f>
        <v/>
      </c>
      <c r="N869" s="2"/>
      <c r="O869" s="3"/>
      <c r="Q869"/>
      <c r="R869" s="3"/>
      <c r="S869" s="3"/>
      <c r="T869"/>
      <c r="U869"/>
      <c r="V869"/>
      <c r="W869"/>
      <c r="Z869"/>
      <c r="AA869"/>
      <c r="AD869"/>
    </row>
    <row r="870" spans="11:30" ht="18" customHeight="1">
      <c r="K870" t="str">
        <f>IF(OR($I870="Čaká na integráciu",$J870="Integrácia"),"ÁNO","")</f>
        <v/>
      </c>
      <c r="L870" t="str">
        <f>IF(OR($I870="Čaká na biznis",$J870="Biznis",$J870="Švédsky biznis"),"ÁNO","")</f>
        <v/>
      </c>
      <c r="N870" s="2"/>
      <c r="O870" s="3"/>
      <c r="Q870"/>
      <c r="R870" s="3"/>
      <c r="S870" s="3"/>
      <c r="T870"/>
      <c r="U870"/>
      <c r="V870"/>
      <c r="W870"/>
      <c r="Z870"/>
      <c r="AA870"/>
      <c r="AD870"/>
    </row>
    <row r="871" spans="11:30" ht="18" customHeight="1">
      <c r="K871" t="str">
        <f>IF(OR($I871="Čaká na integráciu",$J871="Integrácia"),"ÁNO","")</f>
        <v/>
      </c>
      <c r="L871" t="str">
        <f>IF(OR($I871="Čaká na biznis",$J871="Biznis",$J871="Švédsky biznis"),"ÁNO","")</f>
        <v/>
      </c>
      <c r="N871" s="2"/>
      <c r="O871" s="3"/>
      <c r="Q871"/>
      <c r="R871" s="3"/>
      <c r="S871" s="3"/>
      <c r="T871"/>
      <c r="U871"/>
      <c r="V871"/>
      <c r="W871"/>
      <c r="Z871"/>
      <c r="AA871"/>
      <c r="AD871"/>
    </row>
    <row r="872" spans="11:30" ht="18" customHeight="1">
      <c r="K872" t="str">
        <f>IF(OR($I872="Čaká na integráciu",$J872="Integrácia"),"ÁNO","")</f>
        <v/>
      </c>
      <c r="L872" t="str">
        <f>IF(OR($I872="Čaká na biznis",$J872="Biznis",$J872="Švédsky biznis"),"ÁNO","")</f>
        <v/>
      </c>
      <c r="N872" s="2"/>
      <c r="O872" s="3"/>
      <c r="Q872"/>
      <c r="R872" s="3"/>
      <c r="S872" s="3"/>
      <c r="T872"/>
      <c r="U872"/>
      <c r="V872"/>
      <c r="W872"/>
      <c r="Z872"/>
      <c r="AA872"/>
      <c r="AD872"/>
    </row>
    <row r="873" spans="11:30" ht="18" customHeight="1">
      <c r="K873" t="str">
        <f>IF(OR($I873="Čaká na integráciu",$J873="Integrácia"),"ÁNO","")</f>
        <v/>
      </c>
      <c r="L873" t="str">
        <f>IF(OR($I873="Čaká na biznis",$J873="Biznis",$J873="Švédsky biznis"),"ÁNO","")</f>
        <v/>
      </c>
      <c r="N873" s="2"/>
      <c r="O873" s="3"/>
      <c r="Q873"/>
      <c r="R873" s="3"/>
      <c r="S873" s="3"/>
      <c r="T873"/>
      <c r="U873"/>
      <c r="V873"/>
      <c r="W873"/>
      <c r="Z873"/>
      <c r="AA873"/>
      <c r="AD873"/>
    </row>
    <row r="874" spans="11:30" ht="18" customHeight="1">
      <c r="K874" t="str">
        <f>IF(OR($I874="Čaká na integráciu",$J874="Integrácia"),"ÁNO","")</f>
        <v/>
      </c>
      <c r="L874" t="str">
        <f>IF(OR($I874="Čaká na biznis",$J874="Biznis",$J874="Švédsky biznis"),"ÁNO","")</f>
        <v/>
      </c>
      <c r="N874" s="2"/>
      <c r="O874" s="3"/>
      <c r="Q874"/>
      <c r="R874" s="3"/>
      <c r="S874" s="3"/>
      <c r="T874"/>
      <c r="U874"/>
      <c r="V874"/>
      <c r="W874"/>
      <c r="Z874"/>
      <c r="AA874"/>
      <c r="AD874"/>
    </row>
    <row r="875" spans="11:30" ht="18" customHeight="1">
      <c r="K875" t="str">
        <f>IF(OR($I875="Čaká na integráciu",$J875="Integrácia"),"ÁNO","")</f>
        <v/>
      </c>
      <c r="L875" t="str">
        <f>IF(OR($I875="Čaká na biznis",$J875="Biznis",$J875="Švédsky biznis"),"ÁNO","")</f>
        <v/>
      </c>
      <c r="N875" s="2"/>
      <c r="O875" s="3"/>
      <c r="Q875"/>
      <c r="R875" s="3"/>
      <c r="S875" s="3"/>
      <c r="T875"/>
      <c r="U875"/>
      <c r="V875"/>
      <c r="W875"/>
      <c r="Z875"/>
      <c r="AA875"/>
      <c r="AD875"/>
    </row>
    <row r="876" spans="11:30" ht="18" customHeight="1">
      <c r="K876" t="str">
        <f>IF(OR($I876="Čaká na integráciu",$J876="Integrácia"),"ÁNO","")</f>
        <v/>
      </c>
      <c r="L876" t="str">
        <f>IF(OR($I876="Čaká na biznis",$J876="Biznis",$J876="Švédsky biznis"),"ÁNO","")</f>
        <v/>
      </c>
      <c r="N876" s="2"/>
      <c r="O876" s="3"/>
      <c r="Q876"/>
      <c r="R876" s="3"/>
      <c r="S876" s="3"/>
      <c r="T876"/>
      <c r="U876"/>
      <c r="V876"/>
      <c r="W876"/>
      <c r="Z876"/>
      <c r="AA876"/>
      <c r="AD876"/>
    </row>
    <row r="877" spans="11:30" ht="18" customHeight="1">
      <c r="K877" t="str">
        <f>IF(OR($I877="Čaká na integráciu",$J877="Integrácia"),"ÁNO","")</f>
        <v/>
      </c>
      <c r="L877" t="str">
        <f>IF(OR($I877="Čaká na biznis",$J877="Biznis",$J877="Švédsky biznis"),"ÁNO","")</f>
        <v/>
      </c>
      <c r="N877" s="2"/>
      <c r="O877" s="3"/>
      <c r="Q877"/>
      <c r="R877" s="3"/>
      <c r="S877" s="3"/>
      <c r="T877"/>
      <c r="U877"/>
      <c r="V877"/>
      <c r="W877"/>
      <c r="Z877"/>
      <c r="AA877"/>
      <c r="AD877"/>
    </row>
    <row r="878" spans="11:30" ht="18" customHeight="1">
      <c r="K878" t="str">
        <f>IF(OR($I878="Čaká na integráciu",$J878="Integrácia"),"ÁNO","")</f>
        <v/>
      </c>
      <c r="L878" t="str">
        <f>IF(OR($I878="Čaká na biznis",$J878="Biznis",$J878="Švédsky biznis"),"ÁNO","")</f>
        <v/>
      </c>
      <c r="N878" s="2"/>
      <c r="O878" s="3"/>
      <c r="Q878"/>
      <c r="R878" s="3"/>
      <c r="S878" s="3"/>
      <c r="T878"/>
      <c r="U878"/>
      <c r="V878"/>
      <c r="W878"/>
      <c r="Z878"/>
      <c r="AA878"/>
      <c r="AD878"/>
    </row>
    <row r="879" spans="11:30" ht="18" customHeight="1">
      <c r="K879" t="str">
        <f>IF(OR($I879="Čaká na integráciu",$J879="Integrácia"),"ÁNO","")</f>
        <v/>
      </c>
      <c r="L879" t="str">
        <f>IF(OR($I879="Čaká na biznis",$J879="Biznis",$J879="Švédsky biznis"),"ÁNO","")</f>
        <v/>
      </c>
      <c r="N879" s="2"/>
      <c r="O879" s="3"/>
      <c r="Q879"/>
      <c r="R879" s="3"/>
      <c r="S879" s="3"/>
      <c r="T879"/>
      <c r="U879"/>
      <c r="V879"/>
      <c r="W879"/>
      <c r="Z879"/>
      <c r="AA879"/>
      <c r="AD879"/>
    </row>
    <row r="880" spans="11:30" ht="18" customHeight="1">
      <c r="K880" t="str">
        <f>IF(OR($I880="Čaká na integráciu",$J880="Integrácia"),"ÁNO","")</f>
        <v/>
      </c>
      <c r="L880" t="str">
        <f>IF(OR($I880="Čaká na biznis",$J880="Biznis",$J880="Švédsky biznis"),"ÁNO","")</f>
        <v/>
      </c>
      <c r="N880" s="2"/>
      <c r="O880" s="3"/>
      <c r="Q880"/>
      <c r="R880" s="3"/>
      <c r="S880" s="3"/>
      <c r="T880"/>
      <c r="U880"/>
      <c r="V880"/>
      <c r="W880"/>
      <c r="Z880"/>
      <c r="AA880"/>
      <c r="AD880"/>
    </row>
    <row r="881" spans="11:30" ht="18" customHeight="1">
      <c r="K881" t="str">
        <f>IF(OR($I881="Čaká na integráciu",$J881="Integrácia"),"ÁNO","")</f>
        <v/>
      </c>
      <c r="L881" t="str">
        <f>IF(OR($I881="Čaká na biznis",$J881="Biznis",$J881="Švédsky biznis"),"ÁNO","")</f>
        <v/>
      </c>
      <c r="N881" s="2"/>
      <c r="O881" s="3"/>
      <c r="Q881"/>
      <c r="R881" s="3"/>
      <c r="S881" s="3"/>
      <c r="T881"/>
      <c r="U881"/>
      <c r="V881"/>
      <c r="W881"/>
      <c r="Z881"/>
      <c r="AA881"/>
      <c r="AD881"/>
    </row>
    <row r="882" spans="11:30" ht="18" customHeight="1">
      <c r="K882" t="str">
        <f>IF(OR($I882="Čaká na integráciu",$J882="Integrácia"),"ÁNO","")</f>
        <v/>
      </c>
      <c r="L882" t="str">
        <f>IF(OR($I882="Čaká na biznis",$J882="Biznis",$J882="Švédsky biznis"),"ÁNO","")</f>
        <v/>
      </c>
      <c r="N882" s="2"/>
      <c r="O882" s="3"/>
      <c r="Q882"/>
      <c r="R882" s="3"/>
      <c r="S882" s="3"/>
      <c r="T882"/>
      <c r="U882"/>
      <c r="V882"/>
      <c r="W882"/>
      <c r="Z882"/>
      <c r="AA882"/>
      <c r="AD882"/>
    </row>
    <row r="883" spans="11:30" ht="18" customHeight="1">
      <c r="K883" t="str">
        <f>IF(OR($I883="Čaká na integráciu",$J883="Integrácia"),"ÁNO","")</f>
        <v/>
      </c>
      <c r="L883" t="str">
        <f>IF(OR($I883="Čaká na biznis",$J883="Biznis",$J883="Švédsky biznis"),"ÁNO","")</f>
        <v/>
      </c>
      <c r="N883" s="2"/>
      <c r="O883" s="3"/>
      <c r="Q883"/>
      <c r="R883" s="3"/>
      <c r="S883" s="3"/>
      <c r="T883"/>
      <c r="U883"/>
      <c r="V883"/>
      <c r="W883"/>
      <c r="Z883"/>
      <c r="AA883"/>
      <c r="AD883"/>
    </row>
    <row r="884" spans="11:30" ht="18" customHeight="1">
      <c r="K884" t="str">
        <f>IF(OR($I884="Čaká na integráciu",$J884="Integrácia"),"ÁNO","")</f>
        <v/>
      </c>
      <c r="L884" t="str">
        <f>IF(OR($I884="Čaká na biznis",$J884="Biznis",$J884="Švédsky biznis"),"ÁNO","")</f>
        <v/>
      </c>
      <c r="N884" s="2"/>
      <c r="O884" s="3"/>
      <c r="Q884"/>
      <c r="R884" s="3"/>
      <c r="S884" s="3"/>
      <c r="T884"/>
      <c r="U884"/>
      <c r="V884"/>
      <c r="W884"/>
      <c r="Z884"/>
      <c r="AA884"/>
      <c r="AD884"/>
    </row>
    <row r="885" spans="11:30" ht="18" customHeight="1">
      <c r="K885" t="str">
        <f>IF(OR($I885="Čaká na integráciu",$J885="Integrácia"),"ÁNO","")</f>
        <v/>
      </c>
      <c r="L885" t="str">
        <f>IF(OR($I885="Čaká na biznis",$J885="Biznis",$J885="Švédsky biznis"),"ÁNO","")</f>
        <v/>
      </c>
      <c r="N885" s="2"/>
      <c r="O885" s="3"/>
      <c r="Q885"/>
      <c r="R885" s="3"/>
      <c r="S885" s="3"/>
      <c r="T885"/>
      <c r="U885"/>
      <c r="V885"/>
      <c r="W885"/>
      <c r="Z885"/>
      <c r="AA885"/>
      <c r="AD885"/>
    </row>
    <row r="886" spans="11:30" ht="18" customHeight="1">
      <c r="K886" t="str">
        <f>IF(OR($I886="Čaká na integráciu",$J886="Integrácia"),"ÁNO","")</f>
        <v/>
      </c>
      <c r="L886" t="str">
        <f>IF(OR($I886="Čaká na biznis",$J886="Biznis",$J886="Švédsky biznis"),"ÁNO","")</f>
        <v/>
      </c>
      <c r="N886" s="2"/>
      <c r="O886" s="3"/>
      <c r="Q886"/>
      <c r="R886" s="3"/>
      <c r="S886" s="3"/>
      <c r="T886"/>
      <c r="U886"/>
      <c r="V886"/>
      <c r="W886"/>
      <c r="Z886"/>
      <c r="AA886"/>
      <c r="AD886"/>
    </row>
    <row r="887" spans="11:30" ht="18" customHeight="1">
      <c r="K887" t="str">
        <f>IF(OR($I887="Čaká na integráciu",$J887="Integrácia"),"ÁNO","")</f>
        <v/>
      </c>
      <c r="L887" t="str">
        <f>IF(OR($I887="Čaká na biznis",$J887="Biznis",$J887="Švédsky biznis"),"ÁNO","")</f>
        <v/>
      </c>
      <c r="N887" s="2"/>
      <c r="O887" s="3"/>
      <c r="Q887"/>
      <c r="R887" s="3"/>
      <c r="S887" s="3"/>
      <c r="T887"/>
      <c r="U887"/>
      <c r="V887"/>
      <c r="W887"/>
      <c r="Z887"/>
      <c r="AA887"/>
      <c r="AD887"/>
    </row>
    <row r="888" spans="11:30" ht="18" customHeight="1">
      <c r="K888" t="str">
        <f>IF(OR($I888="Čaká na integráciu",$J888="Integrácia"),"ÁNO","")</f>
        <v/>
      </c>
      <c r="L888" t="str">
        <f>IF(OR($I888="Čaká na biznis",$J888="Biznis",$J888="Švédsky biznis"),"ÁNO","")</f>
        <v/>
      </c>
      <c r="N888" s="2"/>
      <c r="O888" s="3"/>
      <c r="Q888"/>
      <c r="R888" s="3"/>
      <c r="S888" s="3"/>
      <c r="T888"/>
      <c r="U888"/>
      <c r="V888"/>
      <c r="W888"/>
      <c r="Z888"/>
      <c r="AA888"/>
      <c r="AD888"/>
    </row>
    <row r="889" spans="11:30" ht="18" customHeight="1">
      <c r="K889" t="str">
        <f>IF(OR($I889="Čaká na integráciu",$J889="Integrácia"),"ÁNO","")</f>
        <v/>
      </c>
      <c r="L889" t="str">
        <f>IF(OR($I889="Čaká na biznis",$J889="Biznis",$J889="Švédsky biznis"),"ÁNO","")</f>
        <v/>
      </c>
      <c r="N889" s="2"/>
      <c r="O889" s="3"/>
      <c r="Q889"/>
      <c r="R889" s="3"/>
      <c r="S889" s="3"/>
      <c r="T889"/>
      <c r="U889"/>
      <c r="V889"/>
      <c r="W889"/>
      <c r="Z889"/>
      <c r="AA889"/>
      <c r="AD889"/>
    </row>
    <row r="890" spans="11:30" ht="18" customHeight="1">
      <c r="K890" t="str">
        <f>IF(OR($I890="Čaká na integráciu",$J890="Integrácia"),"ÁNO","")</f>
        <v/>
      </c>
      <c r="L890" t="str">
        <f>IF(OR($I890="Čaká na biznis",$J890="Biznis",$J890="Švédsky biznis"),"ÁNO","")</f>
        <v/>
      </c>
      <c r="N890" s="2"/>
      <c r="O890" s="3"/>
      <c r="Q890"/>
      <c r="R890" s="3"/>
      <c r="S890" s="3"/>
      <c r="T890"/>
      <c r="U890"/>
      <c r="V890"/>
      <c r="W890"/>
      <c r="Z890"/>
      <c r="AA890"/>
      <c r="AD890"/>
    </row>
    <row r="891" spans="11:30" ht="18" customHeight="1">
      <c r="K891" t="str">
        <f>IF(OR($I891="Čaká na integráciu",$J891="Integrácia"),"ÁNO","")</f>
        <v/>
      </c>
      <c r="L891" t="str">
        <f>IF(OR($I891="Čaká na biznis",$J891="Biznis",$J891="Švédsky biznis"),"ÁNO","")</f>
        <v/>
      </c>
      <c r="N891" s="2"/>
      <c r="O891" s="3"/>
      <c r="Q891"/>
      <c r="R891" s="3"/>
      <c r="S891" s="3"/>
      <c r="T891"/>
      <c r="U891"/>
      <c r="V891"/>
      <c r="W891"/>
      <c r="Z891"/>
      <c r="AA891"/>
      <c r="AD891"/>
    </row>
    <row r="892" spans="11:30" ht="18" customHeight="1">
      <c r="K892" t="str">
        <f>IF(OR($I892="Čaká na integráciu",$J892="Integrácia"),"ÁNO","")</f>
        <v/>
      </c>
      <c r="L892" t="str">
        <f>IF(OR($I892="Čaká na biznis",$J892="Biznis",$J892="Švédsky biznis"),"ÁNO","")</f>
        <v/>
      </c>
      <c r="N892" s="2"/>
      <c r="O892" s="3"/>
      <c r="Q892"/>
      <c r="R892" s="3"/>
      <c r="S892" s="3"/>
      <c r="T892"/>
      <c r="U892"/>
      <c r="V892"/>
      <c r="W892"/>
      <c r="Z892"/>
      <c r="AA892"/>
      <c r="AD892"/>
    </row>
    <row r="893" spans="11:30" ht="18" customHeight="1">
      <c r="K893" t="str">
        <f>IF(OR($I893="Čaká na integráciu",$J893="Integrácia"),"ÁNO","")</f>
        <v/>
      </c>
      <c r="L893" t="str">
        <f>IF(OR($I893="Čaká na biznis",$J893="Biznis",$J893="Švédsky biznis"),"ÁNO","")</f>
        <v/>
      </c>
      <c r="N893" s="2"/>
      <c r="O893" s="3"/>
      <c r="Q893"/>
      <c r="R893" s="3"/>
      <c r="S893" s="3"/>
      <c r="T893"/>
      <c r="U893"/>
      <c r="V893"/>
      <c r="W893"/>
      <c r="Z893"/>
      <c r="AA893"/>
      <c r="AD893"/>
    </row>
    <row r="894" spans="11:30" ht="18" customHeight="1">
      <c r="K894" t="str">
        <f>IF(OR($I894="Čaká na integráciu",$J894="Integrácia"),"ÁNO","")</f>
        <v/>
      </c>
      <c r="L894" t="str">
        <f>IF(OR($I894="Čaká na biznis",$J894="Biznis",$J894="Švédsky biznis"),"ÁNO","")</f>
        <v/>
      </c>
      <c r="N894" s="2"/>
      <c r="O894" s="3"/>
      <c r="Q894"/>
      <c r="R894" s="3"/>
      <c r="S894" s="3"/>
      <c r="T894"/>
      <c r="U894"/>
      <c r="V894"/>
      <c r="W894"/>
      <c r="Z894"/>
      <c r="AA894"/>
      <c r="AD894"/>
    </row>
    <row r="895" spans="11:30" ht="18" customHeight="1">
      <c r="K895" t="str">
        <f>IF(OR($I895="Čaká na integráciu",$J895="Integrácia"),"ÁNO","")</f>
        <v/>
      </c>
      <c r="L895" t="str">
        <f>IF(OR($I895="Čaká na biznis",$J895="Biznis",$J895="Švédsky biznis"),"ÁNO","")</f>
        <v/>
      </c>
      <c r="N895" s="2"/>
      <c r="O895" s="3"/>
      <c r="Q895"/>
      <c r="R895" s="3"/>
      <c r="S895" s="3"/>
      <c r="T895"/>
      <c r="U895"/>
      <c r="V895"/>
      <c r="W895"/>
      <c r="Z895"/>
      <c r="AA895"/>
      <c r="AD895"/>
    </row>
    <row r="896" spans="11:30" ht="18" customHeight="1">
      <c r="K896" t="str">
        <f>IF(OR($I896="Čaká na integráciu",$J896="Integrácia"),"ÁNO","")</f>
        <v/>
      </c>
      <c r="L896" t="str">
        <f>IF(OR($I896="Čaká na biznis",$J896="Biznis",$J896="Švédsky biznis"),"ÁNO","")</f>
        <v/>
      </c>
      <c r="N896" s="2"/>
      <c r="O896" s="3"/>
      <c r="Q896"/>
      <c r="R896" s="3"/>
      <c r="S896" s="3"/>
      <c r="T896"/>
      <c r="U896"/>
      <c r="V896"/>
      <c r="W896"/>
      <c r="Z896"/>
      <c r="AA896"/>
      <c r="AD896"/>
    </row>
    <row r="897" spans="11:30" ht="18" customHeight="1">
      <c r="K897" t="str">
        <f>IF(OR($I897="Čaká na integráciu",$J897="Integrácia"),"ÁNO","")</f>
        <v/>
      </c>
      <c r="L897" t="str">
        <f>IF(OR($I897="Čaká na biznis",$J897="Biznis",$J897="Švédsky biznis"),"ÁNO","")</f>
        <v/>
      </c>
      <c r="N897" s="2"/>
      <c r="O897" s="3"/>
      <c r="Q897"/>
      <c r="R897" s="3"/>
      <c r="S897" s="3"/>
      <c r="T897"/>
      <c r="U897"/>
      <c r="V897"/>
      <c r="W897"/>
      <c r="Z897"/>
      <c r="AA897"/>
      <c r="AD897"/>
    </row>
    <row r="898" spans="11:30" ht="18" customHeight="1">
      <c r="K898" t="str">
        <f>IF(OR($I898="Čaká na integráciu",$J898="Integrácia"),"ÁNO","")</f>
        <v/>
      </c>
      <c r="L898" t="str">
        <f>IF(OR($I898="Čaká na biznis",$J898="Biznis",$J898="Švédsky biznis"),"ÁNO","")</f>
        <v/>
      </c>
      <c r="N898" s="2"/>
      <c r="O898" s="3"/>
      <c r="Q898"/>
      <c r="R898" s="3"/>
      <c r="S898" s="3"/>
      <c r="T898"/>
      <c r="U898"/>
      <c r="V898"/>
      <c r="W898"/>
      <c r="Z898"/>
      <c r="AA898"/>
      <c r="AD898"/>
    </row>
    <row r="899" spans="11:30" ht="18" customHeight="1">
      <c r="K899" t="str">
        <f>IF(OR($I899="Čaká na integráciu",$J899="Integrácia"),"ÁNO","")</f>
        <v/>
      </c>
      <c r="L899" t="str">
        <f>IF(OR($I899="Čaká na biznis",$J899="Biznis",$J899="Švédsky biznis"),"ÁNO","")</f>
        <v/>
      </c>
      <c r="N899" s="2"/>
      <c r="O899" s="3"/>
      <c r="Q899"/>
      <c r="R899" s="3"/>
      <c r="S899" s="3"/>
      <c r="T899"/>
      <c r="U899"/>
      <c r="V899"/>
      <c r="W899"/>
      <c r="Z899"/>
      <c r="AA899"/>
      <c r="AD899"/>
    </row>
    <row r="900" spans="11:30" ht="18" customHeight="1">
      <c r="K900" t="str">
        <f>IF(OR($I900="Čaká na integráciu",$J900="Integrácia"),"ÁNO","")</f>
        <v/>
      </c>
      <c r="L900" t="str">
        <f>IF(OR($I900="Čaká na biznis",$J900="Biznis",$J900="Švédsky biznis"),"ÁNO","")</f>
        <v/>
      </c>
      <c r="N900" s="2"/>
      <c r="O900" s="3"/>
      <c r="Q900"/>
      <c r="R900" s="3"/>
      <c r="S900" s="3"/>
      <c r="T900"/>
      <c r="U900"/>
      <c r="V900"/>
      <c r="W900"/>
      <c r="Z900"/>
      <c r="AA900"/>
      <c r="AD900"/>
    </row>
    <row r="901" spans="11:30" ht="18" customHeight="1">
      <c r="K901" t="str">
        <f>IF(OR($I901="Čaká na integráciu",$J901="Integrácia"),"ÁNO","")</f>
        <v/>
      </c>
      <c r="L901" t="str">
        <f>IF(OR($I901="Čaká na biznis",$J901="Biznis",$J901="Švédsky biznis"),"ÁNO","")</f>
        <v/>
      </c>
      <c r="N901" s="2"/>
      <c r="O901" s="3"/>
      <c r="Q901"/>
      <c r="R901" s="3"/>
      <c r="S901" s="3"/>
      <c r="T901"/>
      <c r="U901"/>
      <c r="V901"/>
      <c r="W901"/>
      <c r="Z901"/>
      <c r="AA901"/>
      <c r="AD901"/>
    </row>
    <row r="902" spans="11:30" ht="18" customHeight="1">
      <c r="K902" t="str">
        <f>IF(OR($I902="Čaká na integráciu",$J902="Integrácia"),"ÁNO","")</f>
        <v/>
      </c>
      <c r="L902" t="str">
        <f>IF(OR($I902="Čaká na biznis",$J902="Biznis",$J902="Švédsky biznis"),"ÁNO","")</f>
        <v/>
      </c>
      <c r="N902" s="2"/>
      <c r="O902" s="3"/>
      <c r="Q902"/>
      <c r="R902" s="3"/>
      <c r="S902" s="3"/>
      <c r="T902"/>
      <c r="U902"/>
      <c r="V902"/>
      <c r="W902"/>
      <c r="Z902"/>
      <c r="AA902"/>
      <c r="AD902"/>
    </row>
    <row r="903" spans="11:30" ht="18" customHeight="1">
      <c r="K903" t="str">
        <f>IF(OR($I903="Čaká na integráciu",$J903="Integrácia"),"ÁNO","")</f>
        <v/>
      </c>
      <c r="L903" t="str">
        <f>IF(OR($I903="Čaká na biznis",$J903="Biznis",$J903="Švédsky biznis"),"ÁNO","")</f>
        <v/>
      </c>
      <c r="N903" s="2"/>
      <c r="O903" s="3"/>
      <c r="Q903"/>
      <c r="R903" s="3"/>
      <c r="S903" s="3"/>
      <c r="T903"/>
      <c r="U903"/>
      <c r="V903"/>
      <c r="W903"/>
      <c r="Z903"/>
      <c r="AA903"/>
      <c r="AD903"/>
    </row>
    <row r="904" spans="11:30" ht="18" customHeight="1">
      <c r="K904" t="str">
        <f>IF(OR($I904="Čaká na integráciu",$J904="Integrácia"),"ÁNO","")</f>
        <v/>
      </c>
      <c r="L904" t="str">
        <f>IF(OR($I904="Čaká na biznis",$J904="Biznis",$J904="Švédsky biznis"),"ÁNO","")</f>
        <v/>
      </c>
      <c r="N904" s="2"/>
      <c r="O904" s="3"/>
      <c r="Q904"/>
      <c r="R904" s="3"/>
      <c r="S904" s="3"/>
      <c r="T904"/>
      <c r="U904"/>
      <c r="V904"/>
      <c r="W904"/>
      <c r="Z904"/>
      <c r="AA904"/>
      <c r="AD904"/>
    </row>
    <row r="905" spans="11:30" ht="18" customHeight="1">
      <c r="K905" t="str">
        <f>IF(OR($I905="Čaká na integráciu",$J905="Integrácia"),"ÁNO","")</f>
        <v/>
      </c>
      <c r="L905" t="str">
        <f>IF(OR($I905="Čaká na biznis",$J905="Biznis",$J905="Švédsky biznis"),"ÁNO","")</f>
        <v/>
      </c>
      <c r="N905" s="2"/>
      <c r="O905" s="3"/>
      <c r="Q905"/>
      <c r="R905" s="3"/>
      <c r="S905" s="3"/>
      <c r="T905"/>
      <c r="U905"/>
      <c r="V905"/>
      <c r="W905"/>
      <c r="Z905"/>
      <c r="AA905"/>
      <c r="AD905"/>
    </row>
    <row r="906" spans="11:30" ht="18" customHeight="1">
      <c r="K906" t="str">
        <f>IF(OR($I906="Čaká na integráciu",$J906="Integrácia"),"ÁNO","")</f>
        <v/>
      </c>
      <c r="L906" t="str">
        <f>IF(OR($I906="Čaká na biznis",$J906="Biznis",$J906="Švédsky biznis"),"ÁNO","")</f>
        <v/>
      </c>
      <c r="N906" s="2"/>
      <c r="O906" s="3"/>
      <c r="Q906"/>
      <c r="R906" s="3"/>
      <c r="S906" s="3"/>
      <c r="T906"/>
      <c r="U906"/>
      <c r="V906"/>
      <c r="W906"/>
      <c r="Z906"/>
      <c r="AA906"/>
      <c r="AD906"/>
    </row>
    <row r="907" spans="11:30" ht="18" customHeight="1">
      <c r="K907" t="str">
        <f>IF(OR($I907="Čaká na integráciu",$J907="Integrácia"),"ÁNO","")</f>
        <v/>
      </c>
      <c r="L907" t="str">
        <f>IF(OR($I907="Čaká na biznis",$J907="Biznis",$J907="Švédsky biznis"),"ÁNO","")</f>
        <v/>
      </c>
      <c r="N907" s="2"/>
      <c r="O907" s="3"/>
      <c r="Q907"/>
      <c r="R907" s="3"/>
      <c r="S907" s="3"/>
      <c r="T907"/>
      <c r="U907"/>
      <c r="V907"/>
      <c r="W907"/>
      <c r="Z907"/>
      <c r="AA907"/>
      <c r="AD907"/>
    </row>
    <row r="908" spans="11:30" ht="18" customHeight="1">
      <c r="K908" t="str">
        <f>IF(OR($I908="Čaká na integráciu",$J908="Integrácia"),"ÁNO","")</f>
        <v/>
      </c>
      <c r="L908" t="str">
        <f>IF(OR($I908="Čaká na biznis",$J908="Biznis",$J908="Švédsky biznis"),"ÁNO","")</f>
        <v/>
      </c>
      <c r="N908" s="2"/>
      <c r="O908" s="3"/>
      <c r="Q908"/>
      <c r="R908" s="3"/>
      <c r="S908" s="3"/>
      <c r="T908"/>
      <c r="U908"/>
      <c r="V908"/>
      <c r="W908"/>
      <c r="Z908"/>
      <c r="AA908"/>
      <c r="AD908"/>
    </row>
    <row r="909" spans="11:30" ht="18" customHeight="1">
      <c r="K909" t="str">
        <f>IF(OR($I909="Čaká na integráciu",$J909="Integrácia"),"ÁNO","")</f>
        <v/>
      </c>
      <c r="L909" t="str">
        <f>IF(OR($I909="Čaká na biznis",$J909="Biznis",$J909="Švédsky biznis"),"ÁNO","")</f>
        <v/>
      </c>
      <c r="N909" s="2"/>
      <c r="O909" s="3"/>
      <c r="Q909"/>
      <c r="R909" s="3"/>
      <c r="S909" s="3"/>
      <c r="T909"/>
      <c r="U909"/>
      <c r="V909"/>
      <c r="W909"/>
      <c r="Z909"/>
      <c r="AA909"/>
      <c r="AD909"/>
    </row>
    <row r="910" spans="11:30" ht="18" customHeight="1">
      <c r="K910" t="str">
        <f>IF(OR($I910="Čaká na integráciu",$J910="Integrácia"),"ÁNO","")</f>
        <v/>
      </c>
      <c r="L910" t="str">
        <f>IF(OR($I910="Čaká na biznis",$J910="Biznis",$J910="Švédsky biznis"),"ÁNO","")</f>
        <v/>
      </c>
      <c r="N910" s="2"/>
      <c r="O910" s="3"/>
      <c r="Q910"/>
      <c r="R910" s="3"/>
      <c r="S910" s="3"/>
      <c r="T910"/>
      <c r="U910"/>
      <c r="V910"/>
      <c r="W910"/>
      <c r="Z910"/>
      <c r="AA910"/>
      <c r="AD910"/>
    </row>
    <row r="911" spans="11:30" ht="18" customHeight="1">
      <c r="K911" t="str">
        <f>IF(OR($I911="Čaká na integráciu",$J911="Integrácia"),"ÁNO","")</f>
        <v/>
      </c>
      <c r="L911" t="str">
        <f>IF(OR($I911="Čaká na biznis",$J911="Biznis",$J911="Švédsky biznis"),"ÁNO","")</f>
        <v/>
      </c>
      <c r="N911" s="2"/>
      <c r="O911" s="3"/>
      <c r="Q911"/>
      <c r="R911" s="3"/>
      <c r="S911" s="3"/>
      <c r="T911"/>
      <c r="U911"/>
      <c r="V911"/>
      <c r="W911"/>
      <c r="Z911"/>
      <c r="AA911"/>
      <c r="AD911"/>
    </row>
    <row r="912" spans="11:30" ht="18" customHeight="1">
      <c r="K912" t="str">
        <f>IF(OR($I912="Čaká na integráciu",$J912="Integrácia"),"ÁNO","")</f>
        <v/>
      </c>
      <c r="L912" t="str">
        <f>IF(OR($I912="Čaká na biznis",$J912="Biznis",$J912="Švédsky biznis"),"ÁNO","")</f>
        <v/>
      </c>
      <c r="N912" s="2"/>
      <c r="O912" s="3"/>
      <c r="Q912"/>
      <c r="R912" s="3"/>
      <c r="S912" s="3"/>
      <c r="T912"/>
      <c r="U912"/>
      <c r="V912"/>
      <c r="W912"/>
      <c r="Z912"/>
      <c r="AA912"/>
      <c r="AD912"/>
    </row>
    <row r="913" spans="11:30" ht="18" customHeight="1">
      <c r="K913" t="str">
        <f>IF(OR($I913="Čaká na integráciu",$J913="Integrácia"),"ÁNO","")</f>
        <v/>
      </c>
      <c r="L913" t="str">
        <f>IF(OR($I913="Čaká na biznis",$J913="Biznis",$J913="Švédsky biznis"),"ÁNO","")</f>
        <v/>
      </c>
      <c r="N913" s="2"/>
      <c r="O913" s="3"/>
      <c r="Q913"/>
      <c r="R913" s="3"/>
      <c r="S913" s="3"/>
      <c r="T913"/>
      <c r="U913"/>
      <c r="V913"/>
      <c r="W913"/>
      <c r="Z913"/>
      <c r="AA913"/>
      <c r="AD913"/>
    </row>
    <row r="914" spans="11:30" ht="18" customHeight="1">
      <c r="K914" t="str">
        <f>IF(OR($I914="Čaká na integráciu",$J914="Integrácia"),"ÁNO","")</f>
        <v/>
      </c>
      <c r="L914" t="str">
        <f>IF(OR($I914="Čaká na biznis",$J914="Biznis",$J914="Švédsky biznis"),"ÁNO","")</f>
        <v/>
      </c>
      <c r="N914" s="2"/>
      <c r="O914" s="3"/>
      <c r="Q914"/>
      <c r="R914" s="3"/>
      <c r="S914" s="3"/>
      <c r="T914"/>
      <c r="U914"/>
      <c r="V914"/>
      <c r="W914"/>
      <c r="Z914"/>
      <c r="AA914"/>
      <c r="AD914"/>
    </row>
    <row r="915" spans="11:30" ht="18" customHeight="1">
      <c r="K915" t="str">
        <f>IF(OR($I915="Čaká na integráciu",$J915="Integrácia"),"ÁNO","")</f>
        <v/>
      </c>
      <c r="L915" t="str">
        <f>IF(OR($I915="Čaká na biznis",$J915="Biznis",$J915="Švédsky biznis"),"ÁNO","")</f>
        <v/>
      </c>
      <c r="N915" s="2"/>
      <c r="O915" s="3"/>
      <c r="Q915"/>
      <c r="R915" s="3"/>
      <c r="S915" s="3"/>
      <c r="T915"/>
      <c r="U915"/>
      <c r="V915"/>
      <c r="W915"/>
      <c r="Z915"/>
      <c r="AA915"/>
      <c r="AD915"/>
    </row>
    <row r="916" spans="11:30" ht="18" customHeight="1">
      <c r="K916" t="str">
        <f>IF(OR($I916="Čaká na integráciu",$J916="Integrácia"),"ÁNO","")</f>
        <v/>
      </c>
      <c r="L916" t="str">
        <f>IF(OR($I916="Čaká na biznis",$J916="Biznis",$J916="Švédsky biznis"),"ÁNO","")</f>
        <v/>
      </c>
      <c r="N916" s="2"/>
      <c r="O916" s="3"/>
      <c r="Q916"/>
      <c r="R916" s="3"/>
      <c r="S916" s="3"/>
      <c r="T916"/>
      <c r="U916"/>
      <c r="V916"/>
      <c r="W916"/>
      <c r="Z916"/>
      <c r="AA916"/>
      <c r="AD916"/>
    </row>
    <row r="917" spans="11:30" ht="18" customHeight="1">
      <c r="K917" t="str">
        <f>IF(OR($I917="Čaká na integráciu",$J917="Integrácia"),"ÁNO","")</f>
        <v/>
      </c>
      <c r="L917" t="str">
        <f>IF(OR($I917="Čaká na biznis",$J917="Biznis",$J917="Švédsky biznis"),"ÁNO","")</f>
        <v/>
      </c>
      <c r="N917" s="2"/>
      <c r="O917" s="3"/>
      <c r="Q917"/>
      <c r="R917" s="3"/>
      <c r="S917" s="3"/>
      <c r="T917"/>
      <c r="U917"/>
      <c r="V917"/>
      <c r="W917"/>
      <c r="Z917"/>
      <c r="AA917"/>
      <c r="AD917"/>
    </row>
    <row r="918" spans="11:30" ht="18" customHeight="1">
      <c r="K918" t="str">
        <f>IF(OR($I918="Čaká na integráciu",$J918="Integrácia"),"ÁNO","")</f>
        <v/>
      </c>
      <c r="L918" t="str">
        <f>IF(OR($I918="Čaká na biznis",$J918="Biznis",$J918="Švédsky biznis"),"ÁNO","")</f>
        <v/>
      </c>
      <c r="N918" s="2"/>
      <c r="O918" s="3"/>
      <c r="Q918"/>
      <c r="R918" s="3"/>
      <c r="S918" s="3"/>
      <c r="T918"/>
      <c r="U918"/>
      <c r="V918"/>
      <c r="W918"/>
      <c r="Z918"/>
      <c r="AA918"/>
      <c r="AD918"/>
    </row>
    <row r="919" spans="11:30" ht="18" customHeight="1">
      <c r="K919" t="str">
        <f>IF(OR($I919="Čaká na integráciu",$J919="Integrácia"),"ÁNO","")</f>
        <v/>
      </c>
      <c r="L919" t="str">
        <f>IF(OR($I919="Čaká na biznis",$J919="Biznis",$J919="Švédsky biznis"),"ÁNO","")</f>
        <v/>
      </c>
      <c r="N919" s="2"/>
      <c r="O919" s="3"/>
      <c r="Q919"/>
      <c r="R919" s="3"/>
      <c r="S919" s="3"/>
      <c r="T919"/>
      <c r="U919"/>
      <c r="V919"/>
      <c r="W919"/>
      <c r="Z919"/>
      <c r="AA919"/>
      <c r="AD919"/>
    </row>
    <row r="920" spans="11:30" ht="18" customHeight="1">
      <c r="K920" t="str">
        <f>IF(OR($I920="Čaká na integráciu",$J920="Integrácia"),"ÁNO","")</f>
        <v/>
      </c>
      <c r="L920" t="str">
        <f>IF(OR($I920="Čaká na biznis",$J920="Biznis",$J920="Švédsky biznis"),"ÁNO","")</f>
        <v/>
      </c>
      <c r="N920" s="2"/>
      <c r="O920" s="3"/>
      <c r="Q920"/>
      <c r="R920" s="3"/>
      <c r="S920" s="3"/>
      <c r="T920"/>
      <c r="U920"/>
      <c r="V920"/>
      <c r="W920"/>
      <c r="Z920"/>
      <c r="AA920"/>
      <c r="AD920"/>
    </row>
    <row r="921" spans="11:30" ht="18" customHeight="1">
      <c r="K921" t="str">
        <f>IF(OR($I921="Čaká na integráciu",$J921="Integrácia"),"ÁNO","")</f>
        <v/>
      </c>
      <c r="L921" t="str">
        <f>IF(OR($I921="Čaká na biznis",$J921="Biznis",$J921="Švédsky biznis"),"ÁNO","")</f>
        <v/>
      </c>
      <c r="N921" s="2"/>
      <c r="O921" s="3"/>
      <c r="Q921"/>
      <c r="R921" s="3"/>
      <c r="S921" s="3"/>
      <c r="T921"/>
      <c r="U921"/>
      <c r="V921"/>
      <c r="W921"/>
      <c r="Z921"/>
      <c r="AA921"/>
      <c r="AD921"/>
    </row>
    <row r="922" spans="11:30" ht="18" customHeight="1">
      <c r="K922" t="str">
        <f>IF(OR($I922="Čaká na integráciu",$J922="Integrácia"),"ÁNO","")</f>
        <v/>
      </c>
      <c r="L922" t="str">
        <f>IF(OR($I922="Čaká na biznis",$J922="Biznis",$J922="Švédsky biznis"),"ÁNO","")</f>
        <v/>
      </c>
      <c r="N922" s="2"/>
      <c r="O922" s="3"/>
      <c r="Q922"/>
      <c r="R922" s="3"/>
      <c r="S922" s="3"/>
      <c r="T922"/>
      <c r="U922"/>
      <c r="V922"/>
      <c r="W922"/>
      <c r="Z922"/>
      <c r="AA922"/>
      <c r="AD922"/>
    </row>
    <row r="923" spans="11:30" ht="18" customHeight="1">
      <c r="K923" t="str">
        <f>IF(OR($I923="Čaká na integráciu",$J923="Integrácia"),"ÁNO","")</f>
        <v/>
      </c>
      <c r="L923" t="str">
        <f>IF(OR($I923="Čaká na biznis",$J923="Biznis",$J923="Švédsky biznis"),"ÁNO","")</f>
        <v/>
      </c>
      <c r="N923" s="2"/>
      <c r="O923" s="3"/>
      <c r="Q923"/>
      <c r="R923" s="3"/>
      <c r="S923" s="3"/>
      <c r="T923"/>
      <c r="U923"/>
      <c r="V923"/>
      <c r="W923"/>
      <c r="Z923"/>
      <c r="AA923"/>
      <c r="AD923"/>
    </row>
    <row r="924" spans="11:30" ht="18" customHeight="1">
      <c r="K924" t="str">
        <f>IF(OR($I924="Čaká na integráciu",$J924="Integrácia"),"ÁNO","")</f>
        <v/>
      </c>
      <c r="L924" t="str">
        <f>IF(OR($I924="Čaká na biznis",$J924="Biznis",$J924="Švédsky biznis"),"ÁNO","")</f>
        <v/>
      </c>
      <c r="N924" s="2"/>
      <c r="O924" s="3"/>
      <c r="Q924"/>
      <c r="R924" s="3"/>
      <c r="S924" s="3"/>
      <c r="T924"/>
      <c r="U924"/>
      <c r="V924"/>
      <c r="W924"/>
      <c r="Z924"/>
      <c r="AA924"/>
      <c r="AD924"/>
    </row>
    <row r="925" spans="11:30" ht="18" customHeight="1">
      <c r="K925" t="str">
        <f>IF(OR($I925="Čaká na integráciu",$J925="Integrácia"),"ÁNO","")</f>
        <v/>
      </c>
      <c r="L925" t="str">
        <f>IF(OR($I925="Čaká na biznis",$J925="Biznis",$J925="Švédsky biznis"),"ÁNO","")</f>
        <v/>
      </c>
      <c r="N925" s="2"/>
      <c r="O925" s="3"/>
      <c r="Q925"/>
      <c r="R925" s="3"/>
      <c r="S925" s="3"/>
      <c r="T925"/>
      <c r="U925"/>
      <c r="V925"/>
      <c r="W925"/>
      <c r="Z925"/>
      <c r="AA925"/>
      <c r="AD925"/>
    </row>
    <row r="926" spans="11:30" ht="18" customHeight="1">
      <c r="K926" t="str">
        <f>IF(OR($I926="Čaká na integráciu",$J926="Integrácia"),"ÁNO","")</f>
        <v/>
      </c>
      <c r="L926" t="str">
        <f>IF(OR($I926="Čaká na biznis",$J926="Biznis",$J926="Švédsky biznis"),"ÁNO","")</f>
        <v/>
      </c>
      <c r="N926" s="2"/>
      <c r="O926" s="3"/>
      <c r="Q926"/>
      <c r="R926" s="3"/>
      <c r="S926" s="3"/>
      <c r="T926"/>
      <c r="U926"/>
      <c r="V926"/>
      <c r="W926"/>
      <c r="Z926"/>
      <c r="AA926"/>
      <c r="AD926"/>
    </row>
    <row r="927" spans="11:30" ht="18" customHeight="1">
      <c r="K927" t="str">
        <f>IF(OR($I927="Čaká na integráciu",$J927="Integrácia"),"ÁNO","")</f>
        <v/>
      </c>
      <c r="L927" t="str">
        <f>IF(OR($I927="Čaká na biznis",$J927="Biznis",$J927="Švédsky biznis"),"ÁNO","")</f>
        <v/>
      </c>
      <c r="N927" s="2"/>
      <c r="O927" s="3"/>
      <c r="Q927"/>
      <c r="R927" s="3"/>
      <c r="S927" s="3"/>
      <c r="T927"/>
      <c r="U927"/>
      <c r="V927"/>
      <c r="W927"/>
      <c r="Z927"/>
      <c r="AA927"/>
      <c r="AD927"/>
    </row>
    <row r="928" spans="11:30" ht="18" customHeight="1">
      <c r="K928" t="str">
        <f>IF(OR($I928="Čaká na integráciu",$J928="Integrácia"),"ÁNO","")</f>
        <v/>
      </c>
      <c r="L928" t="str">
        <f>IF(OR($I928="Čaká na biznis",$J928="Biznis",$J928="Švédsky biznis"),"ÁNO","")</f>
        <v/>
      </c>
      <c r="N928" s="2"/>
      <c r="O928" s="3"/>
      <c r="Q928"/>
      <c r="R928" s="3"/>
      <c r="S928" s="3"/>
      <c r="T928"/>
      <c r="U928"/>
      <c r="V928"/>
      <c r="W928"/>
      <c r="Z928"/>
      <c r="AA928"/>
      <c r="AD928"/>
    </row>
    <row r="929" spans="11:30" ht="18" customHeight="1">
      <c r="K929" t="str">
        <f>IF(OR($I929="Čaká na integráciu",$J929="Integrácia"),"ÁNO","")</f>
        <v/>
      </c>
      <c r="L929" t="str">
        <f>IF(OR($I929="Čaká na biznis",$J929="Biznis",$J929="Švédsky biznis"),"ÁNO","")</f>
        <v/>
      </c>
      <c r="N929" s="2"/>
      <c r="O929" s="3"/>
      <c r="Q929"/>
      <c r="R929" s="3"/>
      <c r="S929" s="3"/>
      <c r="T929"/>
      <c r="U929"/>
      <c r="V929"/>
      <c r="W929"/>
      <c r="Z929"/>
      <c r="AA929"/>
      <c r="AD929"/>
    </row>
    <row r="930" spans="11:30" ht="18" customHeight="1">
      <c r="K930" t="str">
        <f>IF(OR($I930="Čaká na integráciu",$J930="Integrácia"),"ÁNO","")</f>
        <v/>
      </c>
      <c r="L930" t="str">
        <f>IF(OR($I930="Čaká na biznis",$J930="Biznis",$J930="Švédsky biznis"),"ÁNO","")</f>
        <v/>
      </c>
      <c r="N930" s="2"/>
      <c r="O930" s="3"/>
      <c r="Q930"/>
      <c r="R930" s="3"/>
      <c r="S930" s="3"/>
      <c r="T930"/>
      <c r="U930"/>
      <c r="V930"/>
      <c r="W930"/>
      <c r="Z930"/>
      <c r="AA930"/>
      <c r="AD930"/>
    </row>
    <row r="931" spans="11:30" ht="18" customHeight="1">
      <c r="K931" t="str">
        <f>IF(OR($I931="Čaká na integráciu",$J931="Integrácia"),"ÁNO","")</f>
        <v/>
      </c>
      <c r="L931" t="str">
        <f>IF(OR($I931="Čaká na biznis",$J931="Biznis",$J931="Švédsky biznis"),"ÁNO","")</f>
        <v/>
      </c>
      <c r="N931" s="2"/>
      <c r="O931" s="3"/>
      <c r="Q931"/>
      <c r="R931" s="3"/>
      <c r="S931" s="3"/>
      <c r="T931"/>
      <c r="U931"/>
      <c r="V931"/>
      <c r="W931"/>
      <c r="Z931"/>
      <c r="AA931"/>
      <c r="AD931"/>
    </row>
    <row r="932" spans="11:30" ht="18" customHeight="1">
      <c r="K932" t="str">
        <f>IF(OR($I932="Čaká na integráciu",$J932="Integrácia"),"ÁNO","")</f>
        <v/>
      </c>
      <c r="L932" t="str">
        <f>IF(OR($I932="Čaká na biznis",$J932="Biznis",$J932="Švédsky biznis"),"ÁNO","")</f>
        <v/>
      </c>
      <c r="N932" s="2"/>
      <c r="O932" s="3"/>
      <c r="Q932"/>
      <c r="R932" s="3"/>
      <c r="S932" s="3"/>
      <c r="T932"/>
      <c r="U932"/>
      <c r="V932"/>
      <c r="W932"/>
      <c r="Z932"/>
      <c r="AA932"/>
      <c r="AD932"/>
    </row>
    <row r="933" spans="11:30" ht="18" customHeight="1">
      <c r="K933" t="str">
        <f>IF(OR($I933="Čaká na integráciu",$J933="Integrácia"),"ÁNO","")</f>
        <v/>
      </c>
      <c r="L933" t="str">
        <f>IF(OR($I933="Čaká na biznis",$J933="Biznis",$J933="Švédsky biznis"),"ÁNO","")</f>
        <v/>
      </c>
      <c r="N933" s="2"/>
      <c r="O933" s="3"/>
      <c r="Q933"/>
      <c r="R933" s="3"/>
      <c r="S933" s="3"/>
      <c r="T933"/>
      <c r="U933"/>
      <c r="V933"/>
      <c r="W933"/>
      <c r="Z933"/>
      <c r="AA933"/>
      <c r="AD933"/>
    </row>
    <row r="934" spans="11:30" ht="18" customHeight="1">
      <c r="K934" t="str">
        <f>IF(OR($I934="Čaká na integráciu",$J934="Integrácia"),"ÁNO","")</f>
        <v/>
      </c>
      <c r="L934" t="str">
        <f>IF(OR($I934="Čaká na biznis",$J934="Biznis",$J934="Švédsky biznis"),"ÁNO","")</f>
        <v/>
      </c>
      <c r="N934" s="2"/>
      <c r="O934" s="3"/>
      <c r="Q934"/>
      <c r="R934" s="3"/>
      <c r="S934" s="3"/>
      <c r="T934"/>
      <c r="U934"/>
      <c r="V934"/>
      <c r="W934"/>
      <c r="Z934"/>
      <c r="AA934"/>
      <c r="AD934"/>
    </row>
    <row r="935" spans="11:30" ht="18" customHeight="1">
      <c r="K935" t="str">
        <f>IF(OR($I935="Čaká na integráciu",$J935="Integrácia"),"ÁNO","")</f>
        <v/>
      </c>
      <c r="L935" t="str">
        <f>IF(OR($I935="Čaká na biznis",$J935="Biznis",$J935="Švédsky biznis"),"ÁNO","")</f>
        <v/>
      </c>
      <c r="N935" s="2"/>
      <c r="O935" s="3"/>
      <c r="Q935"/>
      <c r="R935" s="3"/>
      <c r="S935" s="3"/>
      <c r="T935"/>
      <c r="U935"/>
      <c r="V935"/>
      <c r="W935"/>
      <c r="Z935"/>
      <c r="AA935"/>
      <c r="AD935"/>
    </row>
    <row r="936" spans="11:30" ht="18" customHeight="1">
      <c r="K936" t="str">
        <f>IF(OR($I936="Čaká na integráciu",$J936="Integrácia"),"ÁNO","")</f>
        <v/>
      </c>
      <c r="L936" t="str">
        <f>IF(OR($I936="Čaká na biznis",$J936="Biznis",$J936="Švédsky biznis"),"ÁNO","")</f>
        <v/>
      </c>
      <c r="N936" s="2"/>
      <c r="O936" s="3"/>
      <c r="Q936"/>
      <c r="R936" s="3"/>
      <c r="S936" s="3"/>
      <c r="T936"/>
      <c r="U936"/>
      <c r="V936"/>
      <c r="W936"/>
      <c r="Z936"/>
      <c r="AA936"/>
      <c r="AD936"/>
    </row>
    <row r="937" spans="11:30" ht="18" customHeight="1">
      <c r="K937" t="str">
        <f>IF(OR($I937="Čaká na integráciu",$J937="Integrácia"),"ÁNO","")</f>
        <v/>
      </c>
      <c r="L937" t="str">
        <f>IF(OR($I937="Čaká na biznis",$J937="Biznis",$J937="Švédsky biznis"),"ÁNO","")</f>
        <v/>
      </c>
      <c r="N937" s="2"/>
      <c r="O937" s="3"/>
      <c r="Q937"/>
      <c r="R937" s="3"/>
      <c r="S937" s="3"/>
      <c r="T937"/>
      <c r="U937"/>
      <c r="V937"/>
      <c r="W937"/>
      <c r="Z937"/>
      <c r="AA937"/>
      <c r="AD937"/>
    </row>
    <row r="938" spans="11:30" ht="18" customHeight="1">
      <c r="K938" t="str">
        <f>IF(OR($I938="Čaká na integráciu",$J938="Integrácia"),"ÁNO","")</f>
        <v/>
      </c>
      <c r="L938" t="str">
        <f>IF(OR($I938="Čaká na biznis",$J938="Biznis",$J938="Švédsky biznis"),"ÁNO","")</f>
        <v/>
      </c>
      <c r="N938" s="2"/>
      <c r="O938" s="3"/>
      <c r="Q938"/>
      <c r="R938" s="3"/>
      <c r="S938" s="3"/>
      <c r="T938"/>
      <c r="U938"/>
      <c r="V938"/>
      <c r="W938"/>
      <c r="Z938"/>
      <c r="AA938"/>
      <c r="AD938"/>
    </row>
    <row r="939" spans="11:30" ht="18" customHeight="1">
      <c r="K939" t="str">
        <f>IF(OR($I939="Čaká na integráciu",$J939="Integrácia"),"ÁNO","")</f>
        <v/>
      </c>
      <c r="L939" t="str">
        <f>IF(OR($I939="Čaká na biznis",$J939="Biznis",$J939="Švédsky biznis"),"ÁNO","")</f>
        <v/>
      </c>
      <c r="N939" s="2"/>
      <c r="O939" s="3"/>
      <c r="Q939"/>
      <c r="R939" s="3"/>
      <c r="S939" s="3"/>
      <c r="T939"/>
      <c r="U939"/>
      <c r="V939"/>
      <c r="W939"/>
      <c r="Z939"/>
      <c r="AA939"/>
      <c r="AD939"/>
    </row>
    <row r="940" spans="11:30" ht="18" customHeight="1">
      <c r="K940" t="str">
        <f>IF(OR($I940="Čaká na integráciu",$J940="Integrácia"),"ÁNO","")</f>
        <v/>
      </c>
      <c r="L940" t="str">
        <f>IF(OR($I940="Čaká na biznis",$J940="Biznis",$J940="Švédsky biznis"),"ÁNO","")</f>
        <v/>
      </c>
      <c r="N940" s="2"/>
      <c r="O940" s="3"/>
      <c r="Q940"/>
      <c r="R940" s="3"/>
      <c r="S940" s="3"/>
      <c r="T940"/>
      <c r="U940"/>
      <c r="V940"/>
      <c r="W940"/>
      <c r="Z940"/>
      <c r="AA940"/>
      <c r="AD940"/>
    </row>
    <row r="941" spans="11:30" ht="18" customHeight="1">
      <c r="K941" t="str">
        <f>IF(OR($I941="Čaká na integráciu",$J941="Integrácia"),"ÁNO","")</f>
        <v/>
      </c>
      <c r="L941" t="str">
        <f>IF(OR($I941="Čaká na biznis",$J941="Biznis",$J941="Švédsky biznis"),"ÁNO","")</f>
        <v/>
      </c>
      <c r="N941" s="2"/>
      <c r="O941" s="3"/>
      <c r="Q941"/>
      <c r="R941" s="3"/>
      <c r="S941" s="3"/>
      <c r="T941"/>
      <c r="U941"/>
      <c r="V941"/>
      <c r="W941"/>
      <c r="Z941"/>
      <c r="AA941"/>
      <c r="AD941"/>
    </row>
    <row r="942" spans="11:30" ht="18" customHeight="1">
      <c r="K942" t="str">
        <f>IF(OR($I942="Čaká na integráciu",$J942="Integrácia"),"ÁNO","")</f>
        <v/>
      </c>
      <c r="L942" t="str">
        <f>IF(OR($I942="Čaká na biznis",$J942="Biznis",$J942="Švédsky biznis"),"ÁNO","")</f>
        <v/>
      </c>
      <c r="N942" s="2"/>
      <c r="O942" s="3"/>
      <c r="Q942"/>
      <c r="R942" s="3"/>
      <c r="S942" s="3"/>
      <c r="T942"/>
      <c r="U942"/>
      <c r="V942"/>
      <c r="W942"/>
      <c r="Z942"/>
      <c r="AA942"/>
      <c r="AD942"/>
    </row>
    <row r="943" spans="11:30" ht="18" customHeight="1">
      <c r="K943" t="str">
        <f>IF(OR($I943="Čaká na integráciu",$J943="Integrácia"),"ÁNO","")</f>
        <v/>
      </c>
      <c r="L943" t="str">
        <f>IF(OR($I943="Čaká na biznis",$J943="Biznis",$J943="Švédsky biznis"),"ÁNO","")</f>
        <v/>
      </c>
      <c r="N943" s="2"/>
      <c r="O943" s="3"/>
      <c r="Q943"/>
      <c r="R943" s="3"/>
      <c r="S943" s="3"/>
      <c r="T943"/>
      <c r="U943"/>
      <c r="V943"/>
      <c r="W943"/>
      <c r="Z943"/>
      <c r="AA943"/>
      <c r="AD943"/>
    </row>
    <row r="944" spans="11:30" ht="18" customHeight="1">
      <c r="K944" t="str">
        <f>IF(OR($I944="Čaká na integráciu",$J944="Integrácia"),"ÁNO","")</f>
        <v/>
      </c>
      <c r="L944" t="str">
        <f>IF(OR($I944="Čaká na biznis",$J944="Biznis",$J944="Švédsky biznis"),"ÁNO","")</f>
        <v/>
      </c>
      <c r="N944" s="2"/>
      <c r="O944" s="3"/>
      <c r="Q944"/>
      <c r="R944" s="3"/>
      <c r="S944" s="3"/>
      <c r="T944"/>
      <c r="U944"/>
      <c r="V944"/>
      <c r="W944"/>
      <c r="Z944"/>
      <c r="AA944"/>
      <c r="AD944"/>
    </row>
    <row r="945" spans="11:30" ht="18" customHeight="1">
      <c r="K945" t="str">
        <f>IF(OR($I945="Čaká na integráciu",$J945="Integrácia"),"ÁNO","")</f>
        <v/>
      </c>
      <c r="L945" t="str">
        <f>IF(OR($I945="Čaká na biznis",$J945="Biznis",$J945="Švédsky biznis"),"ÁNO","")</f>
        <v/>
      </c>
      <c r="N945" s="2"/>
      <c r="O945" s="3"/>
      <c r="Q945"/>
      <c r="R945" s="3"/>
      <c r="S945" s="3"/>
      <c r="T945"/>
      <c r="U945"/>
      <c r="V945"/>
      <c r="W945"/>
      <c r="Z945"/>
      <c r="AA945"/>
      <c r="AD945"/>
    </row>
    <row r="946" spans="11:30" ht="18" customHeight="1">
      <c r="K946" t="str">
        <f>IF(OR($I946="Čaká na integráciu",$J946="Integrácia"),"ÁNO","")</f>
        <v/>
      </c>
      <c r="L946" t="str">
        <f>IF(OR($I946="Čaká na biznis",$J946="Biznis",$J946="Švédsky biznis"),"ÁNO","")</f>
        <v/>
      </c>
      <c r="N946" s="2"/>
      <c r="O946" s="3"/>
      <c r="Q946"/>
      <c r="R946" s="3"/>
      <c r="S946" s="3"/>
      <c r="T946"/>
      <c r="U946"/>
      <c r="V946"/>
      <c r="W946"/>
      <c r="Z946"/>
      <c r="AA946"/>
      <c r="AD946"/>
    </row>
    <row r="947" spans="11:30" ht="18" customHeight="1">
      <c r="K947" t="str">
        <f>IF(OR($I947="Čaká na integráciu",$J947="Integrácia"),"ÁNO","")</f>
        <v/>
      </c>
      <c r="L947" t="str">
        <f>IF(OR($I947="Čaká na biznis",$J947="Biznis",$J947="Švédsky biznis"),"ÁNO","")</f>
        <v/>
      </c>
      <c r="N947" s="2"/>
      <c r="O947" s="3"/>
      <c r="Q947"/>
      <c r="R947" s="3"/>
      <c r="S947" s="3"/>
      <c r="T947"/>
      <c r="U947"/>
      <c r="V947"/>
      <c r="W947"/>
      <c r="Z947"/>
      <c r="AA947"/>
      <c r="AD947"/>
    </row>
    <row r="948" spans="11:30" ht="18" customHeight="1">
      <c r="K948" t="str">
        <f>IF(OR($I948="Čaká na integráciu",$J948="Integrácia"),"ÁNO","")</f>
        <v/>
      </c>
      <c r="L948" t="str">
        <f>IF(OR($I948="Čaká na biznis",$J948="Biznis",$J948="Švédsky biznis"),"ÁNO","")</f>
        <v/>
      </c>
      <c r="N948" s="2"/>
      <c r="O948" s="3"/>
      <c r="Q948"/>
      <c r="R948" s="3"/>
      <c r="S948" s="3"/>
      <c r="T948"/>
      <c r="U948"/>
      <c r="V948"/>
      <c r="W948"/>
      <c r="Z948"/>
      <c r="AA948"/>
      <c r="AD948"/>
    </row>
    <row r="949" spans="11:30" ht="18" customHeight="1">
      <c r="K949" t="str">
        <f>IF(OR($I949="Čaká na integráciu",$J949="Integrácia"),"ÁNO","")</f>
        <v/>
      </c>
      <c r="L949" t="str">
        <f>IF(OR($I949="Čaká na biznis",$J949="Biznis",$J949="Švédsky biznis"),"ÁNO","")</f>
        <v/>
      </c>
      <c r="N949" s="2"/>
      <c r="O949" s="3"/>
      <c r="Q949"/>
      <c r="R949" s="3"/>
      <c r="S949" s="3"/>
      <c r="T949"/>
      <c r="U949"/>
      <c r="V949"/>
      <c r="W949"/>
      <c r="Z949"/>
      <c r="AA949"/>
      <c r="AD949"/>
    </row>
    <row r="950" spans="11:30" ht="18" customHeight="1">
      <c r="K950" t="str">
        <f>IF(OR($I950="Čaká na integráciu",$J950="Integrácia"),"ÁNO","")</f>
        <v/>
      </c>
      <c r="L950" t="str">
        <f>IF(OR($I950="Čaká na biznis",$J950="Biznis",$J950="Švédsky biznis"),"ÁNO","")</f>
        <v/>
      </c>
      <c r="N950" s="2"/>
      <c r="O950" s="3"/>
      <c r="Q950"/>
      <c r="R950" s="3"/>
      <c r="S950" s="3"/>
      <c r="T950"/>
      <c r="U950"/>
      <c r="V950"/>
      <c r="W950"/>
      <c r="Z950"/>
      <c r="AA950"/>
      <c r="AD950"/>
    </row>
    <row r="951" spans="11:30" ht="18" customHeight="1">
      <c r="K951" t="str">
        <f>IF(OR($I951="Čaká na integráciu",$J951="Integrácia"),"ÁNO","")</f>
        <v/>
      </c>
      <c r="L951" t="str">
        <f>IF(OR($I951="Čaká na biznis",$J951="Biznis",$J951="Švédsky biznis"),"ÁNO","")</f>
        <v/>
      </c>
      <c r="N951" s="2"/>
      <c r="O951" s="3"/>
      <c r="Q951"/>
      <c r="R951" s="3"/>
      <c r="S951" s="3"/>
      <c r="T951"/>
      <c r="U951"/>
      <c r="V951"/>
      <c r="W951"/>
      <c r="Z951"/>
      <c r="AA951"/>
      <c r="AD951"/>
    </row>
    <row r="952" spans="11:30" ht="18" customHeight="1">
      <c r="K952" t="str">
        <f>IF(OR($I952="Čaká na integráciu",$J952="Integrácia"),"ÁNO","")</f>
        <v/>
      </c>
      <c r="L952" t="str">
        <f>IF(OR($I952="Čaká na biznis",$J952="Biznis",$J952="Švédsky biznis"),"ÁNO","")</f>
        <v/>
      </c>
      <c r="N952" s="2"/>
      <c r="O952" s="3"/>
      <c r="Q952"/>
      <c r="R952" s="3"/>
      <c r="S952" s="3"/>
      <c r="T952"/>
      <c r="U952"/>
      <c r="V952"/>
      <c r="W952"/>
      <c r="Z952"/>
      <c r="AA952"/>
      <c r="AD952"/>
    </row>
    <row r="953" spans="11:30" ht="18" customHeight="1">
      <c r="K953" t="str">
        <f>IF(OR($I953="Čaká na integráciu",$J953="Integrácia"),"ÁNO","")</f>
        <v/>
      </c>
      <c r="L953" t="str">
        <f>IF(OR($I953="Čaká na biznis",$J953="Biznis",$J953="Švédsky biznis"),"ÁNO","")</f>
        <v/>
      </c>
      <c r="N953" s="2"/>
      <c r="O953" s="3"/>
      <c r="Q953"/>
      <c r="R953" s="3"/>
      <c r="S953" s="3"/>
      <c r="T953"/>
      <c r="U953"/>
      <c r="V953"/>
      <c r="W953"/>
      <c r="Z953"/>
      <c r="AA953"/>
      <c r="AD953"/>
    </row>
    <row r="954" spans="11:30" ht="18" customHeight="1">
      <c r="K954" t="str">
        <f>IF(OR($I954="Čaká na integráciu",$J954="Integrácia"),"ÁNO","")</f>
        <v/>
      </c>
      <c r="L954" t="str">
        <f>IF(OR($I954="Čaká na biznis",$J954="Biznis",$J954="Švédsky biznis"),"ÁNO","")</f>
        <v/>
      </c>
      <c r="N954" s="2"/>
      <c r="O954" s="3"/>
      <c r="Q954"/>
      <c r="R954" s="3"/>
      <c r="S954" s="3"/>
      <c r="T954"/>
      <c r="U954"/>
      <c r="V954"/>
      <c r="W954"/>
      <c r="Z954"/>
      <c r="AA954"/>
      <c r="AD954"/>
    </row>
    <row r="955" spans="11:30" ht="18" customHeight="1">
      <c r="K955" t="str">
        <f>IF(OR($I955="Čaká na integráciu",$J955="Integrácia"),"ÁNO","")</f>
        <v/>
      </c>
      <c r="L955" t="str">
        <f>IF(OR($I955="Čaká na biznis",$J955="Biznis",$J955="Švédsky biznis"),"ÁNO","")</f>
        <v/>
      </c>
      <c r="N955" s="2"/>
      <c r="O955" s="3"/>
      <c r="Q955"/>
      <c r="R955" s="3"/>
      <c r="S955" s="3"/>
      <c r="T955"/>
      <c r="U955"/>
      <c r="V955"/>
      <c r="W955"/>
      <c r="Z955"/>
      <c r="AA955"/>
      <c r="AD955"/>
    </row>
    <row r="956" spans="11:30" ht="18" customHeight="1">
      <c r="K956" t="str">
        <f>IF(OR($I956="Čaká na integráciu",$J956="Integrácia"),"ÁNO","")</f>
        <v/>
      </c>
      <c r="L956" t="str">
        <f>IF(OR($I956="Čaká na biznis",$J956="Biznis",$J956="Švédsky biznis"),"ÁNO","")</f>
        <v/>
      </c>
      <c r="N956" s="2"/>
      <c r="O956" s="3"/>
      <c r="Q956"/>
      <c r="R956" s="3"/>
      <c r="S956" s="3"/>
      <c r="T956"/>
      <c r="U956"/>
      <c r="V956"/>
      <c r="W956"/>
      <c r="Z956"/>
      <c r="AA956"/>
      <c r="AD956"/>
    </row>
    <row r="957" spans="11:30" ht="18" customHeight="1">
      <c r="K957" t="str">
        <f>IF(OR($I957="Čaká na integráciu",$J957="Integrácia"),"ÁNO","")</f>
        <v/>
      </c>
      <c r="L957" t="str">
        <f>IF(OR($I957="Čaká na biznis",$J957="Biznis",$J957="Švédsky biznis"),"ÁNO","")</f>
        <v/>
      </c>
      <c r="N957" s="2"/>
      <c r="O957" s="3"/>
      <c r="Q957"/>
      <c r="R957" s="3"/>
      <c r="S957" s="3"/>
      <c r="T957"/>
      <c r="U957"/>
      <c r="V957"/>
      <c r="W957"/>
      <c r="Z957"/>
      <c r="AA957"/>
      <c r="AD957"/>
    </row>
    <row r="958" spans="11:30" ht="18" customHeight="1">
      <c r="K958" t="str">
        <f>IF(OR($I958="Čaká na integráciu",$J958="Integrácia"),"ÁNO","")</f>
        <v/>
      </c>
      <c r="L958" t="str">
        <f>IF(OR($I958="Čaká na biznis",$J958="Biznis",$J958="Švédsky biznis"),"ÁNO","")</f>
        <v/>
      </c>
      <c r="N958" s="2"/>
      <c r="O958" s="3"/>
      <c r="Q958"/>
      <c r="R958" s="3"/>
      <c r="S958" s="3"/>
      <c r="T958"/>
      <c r="U958"/>
      <c r="V958"/>
      <c r="W958"/>
      <c r="Z958"/>
      <c r="AA958"/>
      <c r="AD958"/>
    </row>
    <row r="959" spans="11:30" ht="18" customHeight="1">
      <c r="K959" t="str">
        <f>IF(OR($I959="Čaká na integráciu",$J959="Integrácia"),"ÁNO","")</f>
        <v/>
      </c>
      <c r="L959" t="str">
        <f>IF(OR($I959="Čaká na biznis",$J959="Biznis",$J959="Švédsky biznis"),"ÁNO","")</f>
        <v/>
      </c>
      <c r="N959" s="2"/>
      <c r="O959" s="3"/>
      <c r="Q959"/>
      <c r="R959" s="3"/>
      <c r="S959" s="3"/>
      <c r="T959"/>
      <c r="U959"/>
      <c r="V959"/>
      <c r="W959"/>
      <c r="Z959"/>
      <c r="AA959"/>
      <c r="AD959"/>
    </row>
    <row r="960" spans="11:30" ht="18" customHeight="1">
      <c r="K960" t="str">
        <f>IF(OR($I960="Čaká na integráciu",$J960="Integrácia"),"ÁNO","")</f>
        <v/>
      </c>
      <c r="L960" t="str">
        <f>IF(OR($I960="Čaká na biznis",$J960="Biznis",$J960="Švédsky biznis"),"ÁNO","")</f>
        <v/>
      </c>
      <c r="N960" s="2"/>
      <c r="O960" s="3"/>
      <c r="Q960"/>
      <c r="R960" s="3"/>
      <c r="S960" s="3"/>
      <c r="T960"/>
      <c r="U960"/>
      <c r="V960"/>
      <c r="W960"/>
      <c r="Z960"/>
      <c r="AA960"/>
      <c r="AD960"/>
    </row>
    <row r="961" spans="11:30" ht="18" customHeight="1">
      <c r="K961" t="str">
        <f>IF(OR($I961="Čaká na integráciu",$J961="Integrácia"),"ÁNO","")</f>
        <v/>
      </c>
      <c r="L961" t="str">
        <f>IF(OR($I961="Čaká na biznis",$J961="Biznis",$J961="Švédsky biznis"),"ÁNO","")</f>
        <v/>
      </c>
      <c r="N961" s="2"/>
      <c r="O961" s="3"/>
      <c r="Q961"/>
      <c r="R961" s="3"/>
      <c r="S961" s="3"/>
      <c r="T961"/>
      <c r="U961"/>
      <c r="V961"/>
      <c r="W961"/>
      <c r="Z961"/>
      <c r="AA961"/>
      <c r="AD961"/>
    </row>
    <row r="962" spans="11:30" ht="18" customHeight="1">
      <c r="K962" t="str">
        <f>IF(OR($I962="Čaká na integráciu",$J962="Integrácia"),"ÁNO","")</f>
        <v/>
      </c>
      <c r="L962" t="str">
        <f>IF(OR($I962="Čaká na biznis",$J962="Biznis",$J962="Švédsky biznis"),"ÁNO","")</f>
        <v/>
      </c>
      <c r="N962" s="2"/>
      <c r="O962" s="3"/>
      <c r="Q962"/>
      <c r="R962" s="3"/>
      <c r="S962" s="3"/>
      <c r="T962"/>
      <c r="U962"/>
      <c r="V962"/>
      <c r="W962"/>
      <c r="Z962"/>
      <c r="AA962"/>
      <c r="AD962"/>
    </row>
    <row r="963" spans="11:30" ht="18" customHeight="1">
      <c r="K963" t="str">
        <f>IF(OR($I963="Čaká na integráciu",$J963="Integrácia"),"ÁNO","")</f>
        <v/>
      </c>
      <c r="L963" t="str">
        <f>IF(OR($I963="Čaká na biznis",$J963="Biznis",$J963="Švédsky biznis"),"ÁNO","")</f>
        <v/>
      </c>
      <c r="N963" s="2"/>
      <c r="O963" s="3"/>
      <c r="Q963"/>
      <c r="R963" s="3"/>
      <c r="S963" s="3"/>
      <c r="T963"/>
      <c r="U963"/>
      <c r="V963"/>
      <c r="W963"/>
      <c r="Z963"/>
      <c r="AA963"/>
      <c r="AD963"/>
    </row>
    <row r="964" spans="11:30" ht="18" customHeight="1">
      <c r="K964" t="str">
        <f>IF(OR($I964="Čaká na integráciu",$J964="Integrácia"),"ÁNO","")</f>
        <v/>
      </c>
      <c r="L964" t="str">
        <f>IF(OR($I964="Čaká na biznis",$J964="Biznis",$J964="Švédsky biznis"),"ÁNO","")</f>
        <v/>
      </c>
      <c r="N964" s="2"/>
      <c r="O964" s="3"/>
      <c r="Q964"/>
      <c r="R964" s="3"/>
      <c r="S964" s="3"/>
      <c r="T964"/>
      <c r="U964"/>
      <c r="V964"/>
      <c r="W964"/>
      <c r="Z964"/>
      <c r="AA964"/>
      <c r="AD964"/>
    </row>
    <row r="965" spans="11:30" ht="18" customHeight="1">
      <c r="K965" t="str">
        <f>IF(OR($I965="Čaká na integráciu",$J965="Integrácia"),"ÁNO","")</f>
        <v/>
      </c>
      <c r="L965" t="str">
        <f>IF(OR($I965="Čaká na biznis",$J965="Biznis",$J965="Švédsky biznis"),"ÁNO","")</f>
        <v/>
      </c>
      <c r="N965" s="2"/>
      <c r="O965" s="3"/>
      <c r="Q965"/>
      <c r="R965" s="3"/>
      <c r="S965" s="3"/>
      <c r="T965"/>
      <c r="U965"/>
      <c r="V965"/>
      <c r="W965"/>
      <c r="Z965"/>
      <c r="AA965"/>
      <c r="AD965"/>
    </row>
    <row r="966" spans="11:30" ht="18" customHeight="1">
      <c r="K966" t="str">
        <f>IF(OR($I966="Čaká na integráciu",$J966="Integrácia"),"ÁNO","")</f>
        <v/>
      </c>
      <c r="L966" t="str">
        <f>IF(OR($I966="Čaká na biznis",$J966="Biznis",$J966="Švédsky biznis"),"ÁNO","")</f>
        <v/>
      </c>
      <c r="N966" s="2"/>
      <c r="O966" s="3"/>
      <c r="Q966"/>
      <c r="R966" s="3"/>
      <c r="S966" s="3"/>
      <c r="T966"/>
      <c r="U966"/>
      <c r="V966"/>
      <c r="W966"/>
      <c r="Z966"/>
      <c r="AA966"/>
      <c r="AD966"/>
    </row>
    <row r="967" spans="11:30" ht="18" customHeight="1">
      <c r="K967" t="str">
        <f>IF(OR($I967="Čaká na integráciu",$J967="Integrácia"),"ÁNO","")</f>
        <v/>
      </c>
      <c r="L967" t="str">
        <f>IF(OR($I967="Čaká na biznis",$J967="Biznis",$J967="Švédsky biznis"),"ÁNO","")</f>
        <v/>
      </c>
      <c r="N967" s="2"/>
      <c r="O967" s="3"/>
      <c r="Q967"/>
      <c r="R967" s="3"/>
      <c r="S967" s="3"/>
      <c r="T967"/>
      <c r="U967"/>
      <c r="V967"/>
      <c r="W967"/>
      <c r="Z967"/>
      <c r="AA967"/>
      <c r="AD967"/>
    </row>
    <row r="968" spans="11:30" ht="18" customHeight="1">
      <c r="K968" t="str">
        <f>IF(OR($I968="Čaká na integráciu",$J968="Integrácia"),"ÁNO","")</f>
        <v/>
      </c>
      <c r="L968" t="str">
        <f>IF(OR($I968="Čaká na biznis",$J968="Biznis",$J968="Švédsky biznis"),"ÁNO","")</f>
        <v/>
      </c>
      <c r="N968" s="2"/>
      <c r="O968" s="3"/>
      <c r="Q968"/>
      <c r="R968" s="3"/>
      <c r="S968" s="3"/>
      <c r="T968"/>
      <c r="U968"/>
      <c r="V968"/>
      <c r="W968"/>
      <c r="Z968"/>
      <c r="AA968"/>
      <c r="AD968"/>
    </row>
    <row r="969" spans="11:30" ht="18" customHeight="1">
      <c r="K969" t="str">
        <f>IF(OR($I969="Čaká na integráciu",$J969="Integrácia"),"ÁNO","")</f>
        <v/>
      </c>
      <c r="L969" t="str">
        <f>IF(OR($I969="Čaká na biznis",$J969="Biznis",$J969="Švédsky biznis"),"ÁNO","")</f>
        <v/>
      </c>
      <c r="N969" s="2"/>
      <c r="O969" s="3"/>
      <c r="Q969"/>
      <c r="R969" s="3"/>
      <c r="S969" s="3"/>
      <c r="T969"/>
      <c r="U969"/>
      <c r="V969"/>
      <c r="W969"/>
      <c r="Z969"/>
      <c r="AA969"/>
      <c r="AD969"/>
    </row>
    <row r="970" spans="11:30" ht="18" customHeight="1">
      <c r="K970" t="str">
        <f>IF(OR($I970="Čaká na integráciu",$J970="Integrácia"),"ÁNO","")</f>
        <v/>
      </c>
      <c r="L970" t="str">
        <f>IF(OR($I970="Čaká na biznis",$J970="Biznis",$J970="Švédsky biznis"),"ÁNO","")</f>
        <v/>
      </c>
      <c r="N970" s="2"/>
      <c r="O970" s="3"/>
      <c r="Q970"/>
      <c r="R970" s="3"/>
      <c r="S970" s="3"/>
      <c r="T970"/>
      <c r="U970"/>
      <c r="V970"/>
      <c r="W970"/>
      <c r="Z970"/>
      <c r="AA970"/>
      <c r="AD970"/>
    </row>
    <row r="971" spans="11:30" ht="18" customHeight="1">
      <c r="K971" t="str">
        <f>IF(OR($I971="Čaká na integráciu",$J971="Integrácia"),"ÁNO","")</f>
        <v/>
      </c>
      <c r="L971" t="str">
        <f>IF(OR($I971="Čaká na biznis",$J971="Biznis",$J971="Švédsky biznis"),"ÁNO","")</f>
        <v/>
      </c>
      <c r="N971" s="2"/>
      <c r="O971" s="3"/>
      <c r="Q971"/>
      <c r="R971" s="3"/>
      <c r="S971" s="3"/>
      <c r="T971"/>
      <c r="U971"/>
      <c r="V971"/>
      <c r="W971"/>
      <c r="Z971"/>
      <c r="AA971"/>
      <c r="AD971"/>
    </row>
    <row r="972" spans="11:30" ht="18" customHeight="1">
      <c r="K972" t="str">
        <f>IF(OR($I972="Čaká na integráciu",$J972="Integrácia"),"ÁNO","")</f>
        <v/>
      </c>
      <c r="L972" t="str">
        <f>IF(OR($I972="Čaká na biznis",$J972="Biznis",$J972="Švédsky biznis"),"ÁNO","")</f>
        <v/>
      </c>
      <c r="N972" s="2"/>
      <c r="O972" s="3"/>
      <c r="Q972"/>
      <c r="R972" s="3"/>
      <c r="S972" s="3"/>
      <c r="T972"/>
      <c r="U972"/>
      <c r="V972"/>
      <c r="W972"/>
      <c r="Z972"/>
      <c r="AA972"/>
      <c r="AD972"/>
    </row>
    <row r="973" spans="11:30" ht="18" customHeight="1">
      <c r="K973" t="str">
        <f>IF(OR($I973="Čaká na integráciu",$J973="Integrácia"),"ÁNO","")</f>
        <v/>
      </c>
      <c r="L973" t="str">
        <f>IF(OR($I973="Čaká na biznis",$J973="Biznis",$J973="Švédsky biznis"),"ÁNO","")</f>
        <v/>
      </c>
      <c r="N973" s="2"/>
      <c r="O973" s="3"/>
      <c r="Q973"/>
      <c r="R973" s="3"/>
      <c r="S973" s="3"/>
      <c r="T973"/>
      <c r="U973"/>
      <c r="V973"/>
      <c r="W973"/>
      <c r="Z973"/>
      <c r="AA973"/>
      <c r="AD973"/>
    </row>
    <row r="974" spans="11:30" ht="18" customHeight="1">
      <c r="K974" t="str">
        <f>IF(OR($I974="Čaká na integráciu",$J974="Integrácia"),"ÁNO","")</f>
        <v/>
      </c>
      <c r="L974" t="str">
        <f>IF(OR($I974="Čaká na biznis",$J974="Biznis",$J974="Švédsky biznis"),"ÁNO","")</f>
        <v/>
      </c>
      <c r="N974" s="2"/>
      <c r="O974" s="3"/>
      <c r="Q974"/>
      <c r="R974" s="3"/>
      <c r="S974" s="3"/>
      <c r="T974"/>
      <c r="U974"/>
      <c r="V974"/>
      <c r="W974"/>
      <c r="Z974"/>
      <c r="AA974"/>
      <c r="AD974"/>
    </row>
    <row r="975" spans="11:30" ht="18" customHeight="1">
      <c r="K975" t="str">
        <f>IF(OR($I975="Čaká na integráciu",$J975="Integrácia"),"ÁNO","")</f>
        <v/>
      </c>
      <c r="L975" t="str">
        <f>IF(OR($I975="Čaká na biznis",$J975="Biznis",$J975="Švédsky biznis"),"ÁNO","")</f>
        <v/>
      </c>
      <c r="N975" s="2"/>
      <c r="O975" s="3"/>
      <c r="Q975"/>
      <c r="R975" s="3"/>
      <c r="S975" s="3"/>
      <c r="T975"/>
      <c r="U975"/>
      <c r="V975"/>
      <c r="W975"/>
      <c r="Z975"/>
      <c r="AA975"/>
      <c r="AD975"/>
    </row>
    <row r="976" spans="11:30" ht="18" customHeight="1">
      <c r="K976" t="str">
        <f>IF(OR($I976="Čaká na integráciu",$J976="Integrácia"),"ÁNO","")</f>
        <v/>
      </c>
      <c r="L976" t="str">
        <f>IF(OR($I976="Čaká na biznis",$J976="Biznis",$J976="Švédsky biznis"),"ÁNO","")</f>
        <v/>
      </c>
      <c r="N976" s="2"/>
      <c r="O976" s="3"/>
      <c r="Q976"/>
      <c r="R976" s="3"/>
      <c r="S976" s="3"/>
      <c r="T976"/>
      <c r="U976"/>
      <c r="V976"/>
      <c r="W976"/>
      <c r="Z976"/>
      <c r="AA976"/>
      <c r="AD976"/>
    </row>
    <row r="977" spans="11:30" ht="18" customHeight="1">
      <c r="K977" t="str">
        <f>IF(OR($I977="Čaká na integráciu",$J977="Integrácia"),"ÁNO","")</f>
        <v/>
      </c>
      <c r="L977" t="str">
        <f>IF(OR($I977="Čaká na biznis",$J977="Biznis",$J977="Švédsky biznis"),"ÁNO","")</f>
        <v/>
      </c>
      <c r="N977" s="2"/>
      <c r="O977" s="3"/>
      <c r="Q977"/>
      <c r="R977" s="3"/>
      <c r="S977" s="3"/>
      <c r="T977"/>
      <c r="U977"/>
      <c r="V977"/>
      <c r="W977"/>
      <c r="Z977"/>
      <c r="AA977"/>
      <c r="AD977"/>
    </row>
    <row r="978" spans="11:30" ht="18" customHeight="1">
      <c r="K978" t="str">
        <f>IF(OR($I978="Čaká na integráciu",$J978="Integrácia"),"ÁNO","")</f>
        <v/>
      </c>
      <c r="L978" t="str">
        <f>IF(OR($I978="Čaká na biznis",$J978="Biznis",$J978="Švédsky biznis"),"ÁNO","")</f>
        <v/>
      </c>
      <c r="N978" s="2"/>
      <c r="O978" s="3"/>
      <c r="Q978"/>
      <c r="R978" s="3"/>
      <c r="S978" s="3"/>
      <c r="T978"/>
      <c r="U978"/>
      <c r="V978"/>
      <c r="W978"/>
      <c r="Z978"/>
      <c r="AA978"/>
      <c r="AD978"/>
    </row>
    <row r="979" spans="11:30" ht="18" customHeight="1">
      <c r="K979" t="str">
        <f>IF(OR($I979="Čaká na integráciu",$J979="Integrácia"),"ÁNO","")</f>
        <v/>
      </c>
      <c r="L979" t="str">
        <f>IF(OR($I979="Čaká na biznis",$J979="Biznis",$J979="Švédsky biznis"),"ÁNO","")</f>
        <v/>
      </c>
      <c r="N979" s="2"/>
      <c r="O979" s="3"/>
      <c r="Q979"/>
      <c r="R979" s="3"/>
      <c r="S979" s="3"/>
      <c r="T979"/>
      <c r="U979"/>
      <c r="V979"/>
      <c r="W979"/>
      <c r="Z979"/>
      <c r="AA979"/>
      <c r="AD979"/>
    </row>
    <row r="980" spans="11:30" ht="18" customHeight="1">
      <c r="K980" t="str">
        <f>IF(OR($I980="Čaká na integráciu",$J980="Integrácia"),"ÁNO","")</f>
        <v/>
      </c>
      <c r="L980" t="str">
        <f>IF(OR($I980="Čaká na biznis",$J980="Biznis",$J980="Švédsky biznis"),"ÁNO","")</f>
        <v/>
      </c>
      <c r="N980" s="2"/>
      <c r="O980" s="3"/>
      <c r="Q980"/>
      <c r="R980" s="3"/>
      <c r="S980" s="3"/>
      <c r="T980"/>
      <c r="U980"/>
      <c r="V980"/>
      <c r="W980"/>
      <c r="Z980"/>
      <c r="AA980"/>
      <c r="AD980"/>
    </row>
    <row r="981" spans="11:30" ht="18" customHeight="1">
      <c r="K981" t="str">
        <f>IF(OR($I981="Čaká na integráciu",$J981="Integrácia"),"ÁNO","")</f>
        <v/>
      </c>
      <c r="L981" t="str">
        <f>IF(OR($I981="Čaká na biznis",$J981="Biznis",$J981="Švédsky biznis"),"ÁNO","")</f>
        <v/>
      </c>
      <c r="N981" s="2"/>
      <c r="O981" s="3"/>
      <c r="Q981"/>
      <c r="R981" s="3"/>
      <c r="S981" s="3"/>
      <c r="T981"/>
      <c r="U981"/>
      <c r="V981"/>
      <c r="W981"/>
      <c r="Z981"/>
      <c r="AA981"/>
      <c r="AD981"/>
    </row>
    <row r="982" spans="11:30" ht="18" customHeight="1">
      <c r="K982" t="str">
        <f>IF(OR($I982="Čaká na integráciu",$J982="Integrácia"),"ÁNO","")</f>
        <v/>
      </c>
      <c r="L982" t="str">
        <f>IF(OR($I982="Čaká na biznis",$J982="Biznis",$J982="Švédsky biznis"),"ÁNO","")</f>
        <v/>
      </c>
      <c r="N982" s="2"/>
      <c r="O982" s="3"/>
      <c r="Q982"/>
      <c r="R982" s="3"/>
      <c r="S982" s="3"/>
      <c r="T982"/>
      <c r="U982"/>
      <c r="V982"/>
      <c r="W982"/>
      <c r="Z982"/>
      <c r="AA982"/>
      <c r="AD982"/>
    </row>
    <row r="983" spans="11:30" ht="18" customHeight="1">
      <c r="K983" t="str">
        <f>IF(OR($I983="Čaká na integráciu",$J983="Integrácia"),"ÁNO","")</f>
        <v/>
      </c>
      <c r="L983" t="str">
        <f>IF(OR($I983="Čaká na biznis",$J983="Biznis",$J983="Švédsky biznis"),"ÁNO","")</f>
        <v/>
      </c>
      <c r="N983" s="2"/>
      <c r="O983" s="3"/>
      <c r="Q983"/>
      <c r="R983" s="3"/>
      <c r="S983" s="3"/>
      <c r="T983"/>
      <c r="U983"/>
      <c r="V983"/>
      <c r="W983"/>
      <c r="Z983"/>
      <c r="AA983"/>
      <c r="AD983"/>
    </row>
    <row r="984" spans="11:30" ht="18" customHeight="1">
      <c r="K984" t="str">
        <f>IF(OR($I984="Čaká na integráciu",$J984="Integrácia"),"ÁNO","")</f>
        <v/>
      </c>
      <c r="L984" t="str">
        <f>IF(OR($I984="Čaká na biznis",$J984="Biznis",$J984="Švédsky biznis"),"ÁNO","")</f>
        <v/>
      </c>
      <c r="N984" s="2"/>
      <c r="O984" s="3"/>
      <c r="Q984"/>
      <c r="R984" s="3"/>
      <c r="S984" s="3"/>
      <c r="T984"/>
      <c r="U984"/>
      <c r="V984"/>
      <c r="W984"/>
      <c r="Z984"/>
      <c r="AA984"/>
      <c r="AD984"/>
    </row>
    <row r="985" spans="11:30" ht="18" customHeight="1">
      <c r="K985" t="str">
        <f>IF(OR($I985="Čaká na integráciu",$J985="Integrácia"),"ÁNO","")</f>
        <v/>
      </c>
      <c r="L985" t="str">
        <f>IF(OR($I985="Čaká na biznis",$J985="Biznis",$J985="Švédsky biznis"),"ÁNO","")</f>
        <v/>
      </c>
      <c r="N985" s="2"/>
      <c r="O985" s="3"/>
      <c r="Q985"/>
      <c r="R985" s="3"/>
      <c r="S985" s="3"/>
      <c r="T985"/>
      <c r="U985"/>
      <c r="V985"/>
      <c r="W985"/>
      <c r="Z985"/>
      <c r="AA985"/>
      <c r="AD985"/>
    </row>
    <row r="986" spans="11:30" ht="18" customHeight="1">
      <c r="K986" t="str">
        <f>IF(OR($I986="Čaká na integráciu",$J986="Integrácia"),"ÁNO","")</f>
        <v/>
      </c>
      <c r="L986" t="str">
        <f>IF(OR($I986="Čaká na biznis",$J986="Biznis",$J986="Švédsky biznis"),"ÁNO","")</f>
        <v/>
      </c>
      <c r="N986" s="2"/>
      <c r="O986" s="3"/>
      <c r="Q986"/>
      <c r="R986" s="3"/>
      <c r="S986" s="3"/>
      <c r="T986"/>
      <c r="U986"/>
      <c r="V986"/>
      <c r="W986"/>
      <c r="Z986"/>
      <c r="AA986"/>
      <c r="AD986"/>
    </row>
    <row r="987" spans="11:30" ht="18" customHeight="1">
      <c r="K987" t="str">
        <f>IF(OR($I987="Čaká na integráciu",$J987="Integrácia"),"ÁNO","")</f>
        <v/>
      </c>
      <c r="L987" t="str">
        <f>IF(OR($I987="Čaká na biznis",$J987="Biznis",$J987="Švédsky biznis"),"ÁNO","")</f>
        <v/>
      </c>
      <c r="N987" s="2"/>
      <c r="O987" s="3"/>
      <c r="Q987"/>
      <c r="R987" s="3"/>
      <c r="S987" s="3"/>
      <c r="T987"/>
      <c r="U987"/>
      <c r="V987"/>
      <c r="W987"/>
      <c r="Z987"/>
      <c r="AA987"/>
      <c r="AD987"/>
    </row>
    <row r="988" spans="11:30" ht="18" customHeight="1">
      <c r="K988" t="str">
        <f>IF(OR($I988="Čaká na integráciu",$J988="Integrácia"),"ÁNO","")</f>
        <v/>
      </c>
      <c r="L988" t="str">
        <f>IF(OR($I988="Čaká na biznis",$J988="Biznis",$J988="Švédsky biznis"),"ÁNO","")</f>
        <v/>
      </c>
      <c r="N988" s="2"/>
      <c r="O988" s="3"/>
      <c r="Q988"/>
      <c r="R988" s="3"/>
      <c r="S988" s="3"/>
      <c r="T988"/>
      <c r="U988"/>
      <c r="V988"/>
      <c r="W988"/>
      <c r="Z988"/>
      <c r="AA988"/>
      <c r="AD988"/>
    </row>
    <row r="989" spans="11:30" ht="18" customHeight="1">
      <c r="K989" t="str">
        <f>IF(OR($I989="Čaká na integráciu",$J989="Integrácia"),"ÁNO","")</f>
        <v/>
      </c>
      <c r="L989" t="str">
        <f>IF(OR($I989="Čaká na biznis",$J989="Biznis",$J989="Švédsky biznis"),"ÁNO","")</f>
        <v/>
      </c>
      <c r="N989" s="2"/>
      <c r="O989" s="3"/>
      <c r="Q989"/>
      <c r="R989" s="3"/>
      <c r="S989" s="3"/>
      <c r="T989"/>
      <c r="U989"/>
      <c r="V989"/>
      <c r="W989"/>
      <c r="Z989"/>
      <c r="AA989"/>
      <c r="AD989"/>
    </row>
    <row r="990" spans="11:30" ht="18" customHeight="1">
      <c r="K990" t="str">
        <f>IF(OR($I990="Čaká na integráciu",$J990="Integrácia"),"ÁNO","")</f>
        <v/>
      </c>
      <c r="L990" t="str">
        <f>IF(OR($I990="Čaká na biznis",$J990="Biznis",$J990="Švédsky biznis"),"ÁNO","")</f>
        <v/>
      </c>
      <c r="N990" s="2"/>
      <c r="O990" s="3"/>
      <c r="Q990"/>
      <c r="R990" s="3"/>
      <c r="S990" s="3"/>
      <c r="T990"/>
      <c r="U990"/>
      <c r="V990"/>
      <c r="W990"/>
      <c r="Z990"/>
      <c r="AA990"/>
      <c r="AD990"/>
    </row>
    <row r="991" spans="11:30" ht="18" customHeight="1">
      <c r="K991" t="str">
        <f>IF(OR($I991="Čaká na integráciu",$J991="Integrácia"),"ÁNO","")</f>
        <v/>
      </c>
      <c r="L991" t="str">
        <f>IF(OR($I991="Čaká na biznis",$J991="Biznis",$J991="Švédsky biznis"),"ÁNO","")</f>
        <v/>
      </c>
      <c r="N991" s="2"/>
      <c r="O991" s="3"/>
      <c r="Q991"/>
      <c r="R991" s="3"/>
      <c r="S991" s="3"/>
      <c r="T991"/>
      <c r="U991"/>
      <c r="V991"/>
      <c r="W991"/>
      <c r="Z991"/>
      <c r="AA991"/>
      <c r="AD991"/>
    </row>
    <row r="992" spans="11:30" ht="18" customHeight="1">
      <c r="K992" t="str">
        <f>IF(OR($I992="Čaká na integráciu",$J992="Integrácia"),"ÁNO","")</f>
        <v/>
      </c>
      <c r="L992" t="str">
        <f>IF(OR($I992="Čaká na biznis",$J992="Biznis",$J992="Švédsky biznis"),"ÁNO","")</f>
        <v/>
      </c>
      <c r="N992" s="2"/>
      <c r="O992" s="3"/>
      <c r="Q992"/>
      <c r="R992" s="3"/>
      <c r="S992" s="3"/>
      <c r="T992"/>
      <c r="U992"/>
      <c r="V992"/>
      <c r="W992"/>
      <c r="Z992"/>
      <c r="AA992"/>
      <c r="AD992"/>
    </row>
    <row r="993" spans="11:30" ht="18" customHeight="1">
      <c r="K993" t="str">
        <f>IF(OR($I993="Čaká na integráciu",$J993="Integrácia"),"ÁNO","")</f>
        <v/>
      </c>
      <c r="L993" t="str">
        <f>IF(OR($I993="Čaká na biznis",$J993="Biznis",$J993="Švédsky biznis"),"ÁNO","")</f>
        <v/>
      </c>
      <c r="N993" s="2"/>
      <c r="O993" s="3"/>
      <c r="Q993"/>
      <c r="R993" s="3"/>
      <c r="S993" s="3"/>
      <c r="T993"/>
      <c r="U993"/>
      <c r="V993"/>
      <c r="W993"/>
      <c r="Z993"/>
      <c r="AA993"/>
      <c r="AD993"/>
    </row>
    <row r="994" spans="11:30" ht="18" customHeight="1">
      <c r="K994" t="str">
        <f>IF(OR($I994="Čaká na integráciu",$J994="Integrácia"),"ÁNO","")</f>
        <v/>
      </c>
      <c r="L994" t="str">
        <f>IF(OR($I994="Čaká na biznis",$J994="Biznis",$J994="Švédsky biznis"),"ÁNO","")</f>
        <v/>
      </c>
      <c r="N994" s="2"/>
      <c r="O994" s="3"/>
      <c r="Q994"/>
      <c r="R994" s="3"/>
      <c r="S994" s="3"/>
      <c r="T994"/>
      <c r="U994"/>
      <c r="V994"/>
      <c r="W994"/>
      <c r="Z994"/>
      <c r="AA994"/>
      <c r="AD994"/>
    </row>
    <row r="995" spans="11:30" ht="18" customHeight="1">
      <c r="K995" t="str">
        <f>IF(OR($I995="Čaká na integráciu",$J995="Integrácia"),"ÁNO","")</f>
        <v/>
      </c>
      <c r="L995" t="str">
        <f>IF(OR($I995="Čaká na biznis",$J995="Biznis",$J995="Švédsky biznis"),"ÁNO","")</f>
        <v/>
      </c>
      <c r="N995" s="2"/>
      <c r="O995" s="3"/>
      <c r="Q995"/>
      <c r="R995" s="3"/>
      <c r="S995" s="3"/>
      <c r="T995"/>
      <c r="U995"/>
      <c r="V995"/>
      <c r="W995"/>
      <c r="Z995"/>
      <c r="AA995"/>
      <c r="AD995"/>
    </row>
    <row r="996" spans="11:30" ht="18" customHeight="1">
      <c r="K996" t="str">
        <f>IF(OR($I996="Čaká na integráciu",$J996="Integrácia"),"ÁNO","")</f>
        <v/>
      </c>
      <c r="L996" t="str">
        <f>IF(OR($I996="Čaká na biznis",$J996="Biznis",$J996="Švédsky biznis"),"ÁNO","")</f>
        <v/>
      </c>
      <c r="N996" s="2"/>
      <c r="O996" s="3"/>
      <c r="Q996"/>
      <c r="R996" s="3"/>
      <c r="S996" s="3"/>
      <c r="T996"/>
      <c r="U996"/>
      <c r="V996"/>
      <c r="W996"/>
      <c r="Z996"/>
      <c r="AA996"/>
      <c r="AD996"/>
    </row>
    <row r="997" spans="11:30" ht="18" customHeight="1">
      <c r="K997" t="str">
        <f>IF(OR($I997="Čaká na integráciu",$J997="Integrácia"),"ÁNO","")</f>
        <v/>
      </c>
      <c r="L997" t="str">
        <f>IF(OR($I997="Čaká na biznis",$J997="Biznis",$J997="Švédsky biznis"),"ÁNO","")</f>
        <v/>
      </c>
      <c r="N997" s="2"/>
      <c r="O997" s="3"/>
      <c r="Q997"/>
      <c r="R997" s="3"/>
      <c r="S997" s="3"/>
      <c r="T997"/>
      <c r="U997"/>
      <c r="V997"/>
      <c r="W997"/>
      <c r="Z997"/>
      <c r="AA997"/>
      <c r="AD997"/>
    </row>
    <row r="998" spans="11:30" ht="18" customHeight="1">
      <c r="K998" t="str">
        <f>IF(OR($I998="Čaká na integráciu",$J998="Integrácia"),"ÁNO","")</f>
        <v/>
      </c>
      <c r="L998" t="str">
        <f>IF(OR($I998="Čaká na biznis",$J998="Biznis",$J998="Švédsky biznis"),"ÁNO","")</f>
        <v/>
      </c>
      <c r="N998" s="2"/>
      <c r="O998" s="3"/>
      <c r="Q998"/>
      <c r="R998" s="3"/>
      <c r="S998" s="3"/>
      <c r="T998"/>
      <c r="U998"/>
      <c r="V998"/>
      <c r="W998"/>
      <c r="Z998"/>
      <c r="AA998"/>
      <c r="AD998"/>
    </row>
    <row r="999" spans="11:30" ht="18" customHeight="1">
      <c r="K999" t="str">
        <f>IF(OR($I999="Čaká na integráciu",$J999="Integrácia"),"ÁNO","")</f>
        <v/>
      </c>
      <c r="L999" t="str">
        <f>IF(OR($I999="Čaká na biznis",$J999="Biznis",$J999="Švédsky biznis"),"ÁNO","")</f>
        <v/>
      </c>
      <c r="N999" s="2"/>
      <c r="O999" s="3"/>
      <c r="Q999"/>
      <c r="R999" s="3"/>
      <c r="S999" s="3"/>
      <c r="T999"/>
      <c r="U999"/>
      <c r="V999"/>
      <c r="W999"/>
      <c r="Z999"/>
      <c r="AA999"/>
      <c r="AD999"/>
    </row>
    <row r="1000" spans="11:30" ht="18" customHeight="1">
      <c r="K1000" t="str">
        <f>IF(OR($I1000="Čaká na integráciu",$J1000="Integrácia"),"ÁNO","")</f>
        <v/>
      </c>
      <c r="L1000" t="str">
        <f>IF(OR($I1000="Čaká na biznis",$J1000="Biznis",$J1000="Švédsky biznis"),"ÁNO","")</f>
        <v/>
      </c>
      <c r="N1000" s="2"/>
      <c r="O1000" s="3"/>
      <c r="Q1000"/>
      <c r="R1000" s="3"/>
      <c r="S1000" s="3"/>
      <c r="T1000"/>
      <c r="U1000"/>
      <c r="V1000"/>
      <c r="W1000"/>
      <c r="Z1000"/>
      <c r="AA1000"/>
      <c r="AD1000"/>
    </row>
    <row r="1001" spans="11:30" ht="18" customHeight="1">
      <c r="K1001" t="str">
        <f>IF(OR($I1001="Čaká na integráciu",$J1001="Integrácia"),"ÁNO","")</f>
        <v/>
      </c>
      <c r="L1001" t="str">
        <f>IF(OR($I1001="Čaká na biznis",$J1001="Biznis",$J1001="Švédsky biznis"),"ÁNO","")</f>
        <v/>
      </c>
      <c r="N1001" s="2"/>
      <c r="O1001" s="3"/>
      <c r="Q1001"/>
      <c r="R1001" s="3"/>
      <c r="S1001" s="3"/>
      <c r="T1001"/>
      <c r="U1001"/>
      <c r="V1001"/>
      <c r="W1001"/>
      <c r="Z1001"/>
      <c r="AA1001"/>
      <c r="AD1001"/>
    </row>
    <row r="1002" spans="11:30" ht="18" customHeight="1">
      <c r="K1002" t="str">
        <f>IF(OR($I1002="Čaká na integráciu",$J1002="Integrácia"),"ÁNO","")</f>
        <v/>
      </c>
      <c r="L1002" t="str">
        <f>IF(OR($I1002="Čaká na biznis",$J1002="Biznis",$J1002="Švédsky biznis"),"ÁNO","")</f>
        <v/>
      </c>
      <c r="N1002" s="2"/>
      <c r="O1002" s="3"/>
      <c r="Q1002"/>
      <c r="R1002" s="3"/>
      <c r="S1002" s="3"/>
      <c r="T1002"/>
      <c r="U1002"/>
      <c r="V1002"/>
      <c r="W1002"/>
      <c r="Z1002"/>
      <c r="AA1002"/>
      <c r="AD1002"/>
    </row>
    <row r="1003" spans="11:30" ht="18" customHeight="1">
      <c r="K1003" t="str">
        <f>IF(OR($I1003="Čaká na integráciu",$J1003="Integrácia"),"ÁNO","")</f>
        <v/>
      </c>
      <c r="L1003" t="str">
        <f>IF(OR($I1003="Čaká na biznis",$J1003="Biznis",$J1003="Švédsky biznis"),"ÁNO","")</f>
        <v/>
      </c>
      <c r="N1003" s="2"/>
      <c r="O1003" s="3"/>
      <c r="Q1003"/>
      <c r="R1003" s="3"/>
      <c r="S1003" s="3"/>
      <c r="T1003"/>
      <c r="U1003"/>
      <c r="V1003"/>
      <c r="W1003"/>
      <c r="Z1003"/>
      <c r="AA1003"/>
      <c r="AD1003"/>
    </row>
    <row r="1004" spans="11:30" ht="18" customHeight="1">
      <c r="K1004" t="str">
        <f>IF(OR($I1004="Čaká na integráciu",$J1004="Integrácia"),"ÁNO","")</f>
        <v/>
      </c>
      <c r="L1004" t="str">
        <f>IF(OR($I1004="Čaká na biznis",$J1004="Biznis",$J1004="Švédsky biznis"),"ÁNO","")</f>
        <v/>
      </c>
      <c r="N1004" s="2"/>
      <c r="O1004" s="3"/>
      <c r="Q1004"/>
      <c r="R1004" s="3"/>
      <c r="S1004" s="3"/>
      <c r="T1004"/>
      <c r="U1004"/>
      <c r="V1004"/>
      <c r="W1004"/>
      <c r="Z1004"/>
      <c r="AA1004"/>
      <c r="AD1004"/>
    </row>
    <row r="1005" spans="11:30" ht="18" customHeight="1">
      <c r="K1005" t="str">
        <f>IF(OR($I1005="Čaká na integráciu",$J1005="Integrácia"),"ÁNO","")</f>
        <v/>
      </c>
      <c r="L1005" t="str">
        <f>IF(OR($I1005="Čaká na biznis",$J1005="Biznis",$J1005="Švédsky biznis"),"ÁNO","")</f>
        <v/>
      </c>
      <c r="N1005" s="2"/>
      <c r="O1005" s="3"/>
      <c r="Q1005"/>
      <c r="R1005" s="3"/>
      <c r="S1005" s="3"/>
      <c r="T1005"/>
      <c r="U1005"/>
      <c r="V1005"/>
      <c r="W1005"/>
      <c r="Z1005"/>
      <c r="AA1005"/>
      <c r="AD1005"/>
    </row>
    <row r="1006" spans="11:30" ht="18" customHeight="1">
      <c r="K1006" t="str">
        <f>IF(OR($I1006="Čaká na integráciu",$J1006="Integrácia"),"ÁNO","")</f>
        <v/>
      </c>
      <c r="L1006" t="str">
        <f>IF(OR($I1006="Čaká na biznis",$J1006="Biznis",$J1006="Švédsky biznis"),"ÁNO","")</f>
        <v/>
      </c>
      <c r="N1006" s="2"/>
      <c r="O1006" s="3"/>
      <c r="Q1006"/>
      <c r="R1006" s="3"/>
      <c r="S1006" s="3"/>
      <c r="T1006"/>
      <c r="U1006"/>
      <c r="V1006"/>
      <c r="W1006"/>
      <c r="Z1006"/>
      <c r="AA1006"/>
      <c r="AD1006"/>
    </row>
    <row r="1007" spans="11:30" ht="18" customHeight="1">
      <c r="K1007" t="str">
        <f>IF(OR($I1007="Čaká na integráciu",$J1007="Integrácia"),"ÁNO","")</f>
        <v/>
      </c>
      <c r="L1007" t="str">
        <f>IF(OR($I1007="Čaká na biznis",$J1007="Biznis",$J1007="Švédsky biznis"),"ÁNO","")</f>
        <v/>
      </c>
      <c r="N1007" s="2"/>
      <c r="O1007" s="3"/>
      <c r="Q1007"/>
      <c r="R1007" s="3"/>
      <c r="S1007" s="3"/>
      <c r="T1007"/>
      <c r="U1007"/>
      <c r="V1007"/>
      <c r="W1007"/>
      <c r="Z1007"/>
      <c r="AA1007"/>
      <c r="AD1007"/>
    </row>
    <row r="1008" spans="11:30" ht="18" customHeight="1">
      <c r="K1008" t="str">
        <f>IF(OR($I1008="Čaká na integráciu",$J1008="Integrácia"),"ÁNO","")</f>
        <v/>
      </c>
      <c r="L1008" t="str">
        <f>IF(OR($I1008="Čaká na biznis",$J1008="Biznis",$J1008="Švédsky biznis"),"ÁNO","")</f>
        <v/>
      </c>
      <c r="N1008" s="2"/>
      <c r="O1008" s="3"/>
      <c r="Q1008"/>
      <c r="R1008" s="3"/>
      <c r="S1008" s="3"/>
      <c r="T1008"/>
      <c r="U1008"/>
      <c r="V1008"/>
      <c r="W1008"/>
      <c r="Z1008"/>
      <c r="AA1008"/>
      <c r="AD1008"/>
    </row>
    <row r="1009" spans="11:30" ht="18" customHeight="1">
      <c r="K1009" t="str">
        <f>IF(OR($I1009="Čaká na integráciu",$J1009="Integrácia"),"ÁNO","")</f>
        <v/>
      </c>
      <c r="L1009" t="str">
        <f>IF(OR($I1009="Čaká na biznis",$J1009="Biznis",$J1009="Švédsky biznis"),"ÁNO","")</f>
        <v/>
      </c>
      <c r="N1009" s="2"/>
      <c r="O1009" s="3"/>
      <c r="Q1009"/>
      <c r="R1009" s="3"/>
      <c r="S1009" s="3"/>
      <c r="T1009"/>
      <c r="U1009"/>
      <c r="V1009"/>
      <c r="W1009"/>
      <c r="Z1009"/>
      <c r="AA1009"/>
      <c r="AD1009"/>
    </row>
    <row r="1010" spans="11:30" ht="18" customHeight="1">
      <c r="K1010" t="str">
        <f>IF(OR($I1010="Čaká na integráciu",$J1010="Integrácia"),"ÁNO","")</f>
        <v/>
      </c>
      <c r="L1010" t="str">
        <f>IF(OR($I1010="Čaká na biznis",$J1010="Biznis",$J1010="Švédsky biznis"),"ÁNO","")</f>
        <v/>
      </c>
      <c r="N1010" s="2"/>
      <c r="O1010" s="3"/>
      <c r="Q1010"/>
      <c r="R1010" s="3"/>
      <c r="S1010" s="3"/>
      <c r="T1010"/>
      <c r="U1010"/>
      <c r="V1010"/>
      <c r="W1010"/>
      <c r="Z1010"/>
      <c r="AA1010"/>
      <c r="AD1010"/>
    </row>
    <row r="1011" spans="11:30" ht="18" customHeight="1">
      <c r="K1011" t="str">
        <f>IF(OR($I1011="Čaká na integráciu",$J1011="Integrácia"),"ÁNO","")</f>
        <v/>
      </c>
      <c r="L1011" t="str">
        <f>IF(OR($I1011="Čaká na biznis",$J1011="Biznis",$J1011="Švédsky biznis"),"ÁNO","")</f>
        <v/>
      </c>
      <c r="N1011" s="2"/>
      <c r="O1011" s="3"/>
      <c r="Q1011"/>
      <c r="R1011" s="3"/>
      <c r="S1011" s="3"/>
      <c r="T1011"/>
      <c r="U1011"/>
      <c r="V1011"/>
      <c r="W1011"/>
      <c r="Z1011"/>
      <c r="AA1011"/>
      <c r="AD1011"/>
    </row>
    <row r="1012" spans="11:30" ht="18" customHeight="1">
      <c r="K1012" t="str">
        <f>IF(OR($I1012="Čaká na integráciu",$J1012="Integrácia"),"ÁNO","")</f>
        <v/>
      </c>
      <c r="L1012" t="str">
        <f>IF(OR($I1012="Čaká na biznis",$J1012="Biznis",$J1012="Švédsky biznis"),"ÁNO","")</f>
        <v/>
      </c>
      <c r="N1012" s="2"/>
      <c r="O1012" s="3"/>
      <c r="Q1012"/>
      <c r="R1012" s="3"/>
      <c r="S1012" s="3"/>
      <c r="T1012"/>
      <c r="U1012"/>
      <c r="V1012"/>
      <c r="W1012"/>
      <c r="Z1012"/>
      <c r="AA1012"/>
      <c r="AD1012"/>
    </row>
    <row r="1013" spans="11:30" ht="18" customHeight="1">
      <c r="K1013" t="str">
        <f>IF(OR($I1013="Čaká na integráciu",$J1013="Integrácia"),"ÁNO","")</f>
        <v/>
      </c>
      <c r="L1013" t="str">
        <f>IF(OR($I1013="Čaká na biznis",$J1013="Biznis",$J1013="Švédsky biznis"),"ÁNO","")</f>
        <v/>
      </c>
      <c r="N1013" s="2"/>
      <c r="O1013" s="3"/>
      <c r="Q1013"/>
      <c r="R1013" s="3"/>
      <c r="S1013" s="3"/>
      <c r="T1013"/>
      <c r="U1013"/>
      <c r="V1013"/>
      <c r="W1013"/>
      <c r="Z1013"/>
      <c r="AA1013"/>
      <c r="AD1013"/>
    </row>
    <row r="1014" spans="11:30" ht="18" customHeight="1">
      <c r="K1014" t="str">
        <f>IF(OR($I1014="Čaká na integráciu",$J1014="Integrácia"),"ÁNO","")</f>
        <v/>
      </c>
      <c r="L1014" t="str">
        <f>IF(OR($I1014="Čaká na biznis",$J1014="Biznis",$J1014="Švédsky biznis"),"ÁNO","")</f>
        <v/>
      </c>
      <c r="N1014" s="2"/>
      <c r="O1014" s="3"/>
      <c r="Q1014"/>
      <c r="R1014" s="3"/>
      <c r="S1014" s="3"/>
      <c r="T1014"/>
      <c r="U1014"/>
      <c r="V1014"/>
      <c r="W1014"/>
      <c r="Z1014"/>
      <c r="AA1014"/>
      <c r="AD1014"/>
    </row>
    <row r="1015" spans="11:30" ht="18" customHeight="1">
      <c r="K1015" t="str">
        <f>IF(OR($I1015="Čaká na integráciu",$J1015="Integrácia"),"ÁNO","")</f>
        <v/>
      </c>
      <c r="L1015" t="str">
        <f>IF(OR($I1015="Čaká na biznis",$J1015="Biznis",$J1015="Švédsky biznis"),"ÁNO","")</f>
        <v/>
      </c>
      <c r="N1015" s="2"/>
      <c r="O1015" s="3"/>
      <c r="Q1015"/>
      <c r="R1015" s="3"/>
      <c r="S1015" s="3"/>
      <c r="T1015"/>
      <c r="U1015"/>
      <c r="V1015"/>
      <c r="W1015"/>
      <c r="Z1015"/>
      <c r="AA1015"/>
      <c r="AD1015"/>
    </row>
    <row r="1016" spans="11:30" ht="18" customHeight="1">
      <c r="K1016" t="str">
        <f>IF(OR($I1016="Čaká na integráciu",$J1016="Integrácia"),"ÁNO","")</f>
        <v/>
      </c>
      <c r="L1016" t="str">
        <f>IF(OR($I1016="Čaká na biznis",$J1016="Biznis",$J1016="Švédsky biznis"),"ÁNO","")</f>
        <v/>
      </c>
      <c r="N1016" s="2"/>
      <c r="O1016" s="3"/>
      <c r="Q1016"/>
      <c r="R1016" s="3"/>
      <c r="S1016" s="3"/>
      <c r="T1016"/>
      <c r="U1016"/>
      <c r="V1016"/>
      <c r="W1016"/>
      <c r="Z1016"/>
      <c r="AA1016"/>
      <c r="AD1016"/>
    </row>
    <row r="1017" spans="11:30" ht="18" customHeight="1">
      <c r="K1017" t="str">
        <f>IF(OR($I1017="Čaká na integráciu",$J1017="Integrácia"),"ÁNO","")</f>
        <v/>
      </c>
      <c r="L1017" t="str">
        <f>IF(OR($I1017="Čaká na biznis",$J1017="Biznis",$J1017="Švédsky biznis"),"ÁNO","")</f>
        <v/>
      </c>
      <c r="N1017" s="2"/>
      <c r="O1017" s="3"/>
      <c r="Q1017"/>
      <c r="R1017" s="3"/>
      <c r="S1017" s="3"/>
      <c r="T1017"/>
      <c r="U1017"/>
      <c r="V1017"/>
      <c r="W1017"/>
      <c r="Z1017"/>
      <c r="AA1017"/>
      <c r="AD1017"/>
    </row>
    <row r="1018" spans="11:30" ht="18" customHeight="1">
      <c r="K1018" t="str">
        <f>IF(OR($I1018="Čaká na integráciu",$J1018="Integrácia"),"ÁNO","")</f>
        <v/>
      </c>
      <c r="L1018" t="str">
        <f>IF(OR($I1018="Čaká na biznis",$J1018="Biznis",$J1018="Švédsky biznis"),"ÁNO","")</f>
        <v/>
      </c>
      <c r="N1018" s="2"/>
      <c r="O1018" s="3"/>
      <c r="Q1018"/>
      <c r="R1018" s="3"/>
      <c r="S1018" s="3"/>
      <c r="T1018"/>
      <c r="U1018"/>
      <c r="V1018"/>
      <c r="W1018"/>
      <c r="Z1018"/>
      <c r="AA1018"/>
      <c r="AD1018"/>
    </row>
    <row r="1019" spans="11:30" ht="18" customHeight="1">
      <c r="K1019" t="str">
        <f>IF(OR($I1019="Čaká na integráciu",$J1019="Integrácia"),"ÁNO","")</f>
        <v/>
      </c>
      <c r="L1019" t="str">
        <f>IF(OR($I1019="Čaká na biznis",$J1019="Biznis",$J1019="Švédsky biznis"),"ÁNO","")</f>
        <v/>
      </c>
      <c r="N1019" s="2"/>
      <c r="O1019" s="3"/>
      <c r="Q1019"/>
      <c r="R1019" s="3"/>
      <c r="S1019" s="3"/>
      <c r="T1019"/>
      <c r="U1019"/>
      <c r="V1019"/>
      <c r="W1019"/>
      <c r="Z1019"/>
      <c r="AA1019"/>
      <c r="AD1019"/>
    </row>
    <row r="1020" spans="11:30" ht="18" customHeight="1">
      <c r="K1020" t="str">
        <f>IF(OR($I1020="Čaká na integráciu",$J1020="Integrácia"),"ÁNO","")</f>
        <v/>
      </c>
      <c r="L1020" t="str">
        <f>IF(OR($I1020="Čaká na biznis",$J1020="Biznis",$J1020="Švédsky biznis"),"ÁNO","")</f>
        <v/>
      </c>
      <c r="N1020" s="2"/>
      <c r="O1020" s="3"/>
      <c r="Q1020"/>
      <c r="R1020" s="3"/>
      <c r="S1020" s="3"/>
      <c r="T1020"/>
      <c r="U1020"/>
      <c r="V1020"/>
      <c r="W1020"/>
      <c r="Z1020"/>
      <c r="AA1020"/>
      <c r="AD1020"/>
    </row>
    <row r="1021" spans="11:30" ht="18" customHeight="1">
      <c r="K1021" t="str">
        <f>IF(OR($I1021="Čaká na integráciu",$J1021="Integrácia"),"ÁNO","")</f>
        <v/>
      </c>
      <c r="L1021" t="str">
        <f>IF(OR($I1021="Čaká na biznis",$J1021="Biznis",$J1021="Švédsky biznis"),"ÁNO","")</f>
        <v/>
      </c>
      <c r="N1021" s="2"/>
      <c r="O1021" s="3"/>
      <c r="Q1021"/>
      <c r="R1021" s="3"/>
      <c r="S1021" s="3"/>
      <c r="T1021"/>
      <c r="U1021"/>
      <c r="V1021"/>
      <c r="W1021"/>
      <c r="Z1021"/>
      <c r="AA1021"/>
      <c r="AD1021"/>
    </row>
    <row r="1022" spans="11:30" ht="18" customHeight="1">
      <c r="K1022" t="str">
        <f>IF(OR($I1022="Čaká na integráciu",$J1022="Integrácia"),"ÁNO","")</f>
        <v/>
      </c>
      <c r="L1022" t="str">
        <f>IF(OR($I1022="Čaká na biznis",$J1022="Biznis",$J1022="Švédsky biznis"),"ÁNO","")</f>
        <v/>
      </c>
      <c r="N1022" s="2"/>
      <c r="O1022" s="3"/>
      <c r="Q1022"/>
      <c r="R1022" s="3"/>
      <c r="S1022" s="3"/>
      <c r="T1022"/>
      <c r="U1022"/>
      <c r="V1022"/>
      <c r="W1022"/>
      <c r="Z1022"/>
      <c r="AA1022"/>
      <c r="AD1022"/>
    </row>
    <row r="1023" spans="11:30" ht="18" customHeight="1">
      <c r="K1023" t="str">
        <f>IF(OR($I1023="Čaká na integráciu",$J1023="Integrácia"),"ÁNO","")</f>
        <v/>
      </c>
      <c r="L1023" t="str">
        <f>IF(OR($I1023="Čaká na biznis",$J1023="Biznis",$J1023="Švédsky biznis"),"ÁNO","")</f>
        <v/>
      </c>
      <c r="N1023" s="2"/>
      <c r="O1023" s="3"/>
      <c r="Q1023"/>
      <c r="R1023" s="3"/>
      <c r="S1023" s="3"/>
      <c r="T1023"/>
      <c r="U1023"/>
      <c r="V1023"/>
      <c r="W1023"/>
      <c r="Z1023"/>
      <c r="AA1023"/>
      <c r="AD1023"/>
    </row>
    <row r="1024" spans="11:30" ht="18" customHeight="1">
      <c r="K1024" t="str">
        <f>IF(OR($I1024="Čaká na integráciu",$J1024="Integrácia"),"ÁNO","")</f>
        <v/>
      </c>
      <c r="L1024" t="str">
        <f>IF(OR($I1024="Čaká na biznis",$J1024="Biznis",$J1024="Švédsky biznis"),"ÁNO","")</f>
        <v/>
      </c>
      <c r="N1024" s="2"/>
      <c r="O1024" s="3"/>
      <c r="Q1024"/>
      <c r="R1024" s="3"/>
      <c r="S1024" s="3"/>
      <c r="T1024"/>
      <c r="U1024"/>
      <c r="V1024"/>
      <c r="W1024"/>
      <c r="Z1024"/>
      <c r="AA1024"/>
      <c r="AD1024"/>
    </row>
    <row r="1025" spans="11:30" ht="18" customHeight="1">
      <c r="K1025" t="str">
        <f>IF(OR($I1025="Čaká na integráciu",$J1025="Integrácia"),"ÁNO","")</f>
        <v/>
      </c>
      <c r="L1025" t="str">
        <f>IF(OR($I1025="Čaká na biznis",$J1025="Biznis",$J1025="Švédsky biznis"),"ÁNO","")</f>
        <v/>
      </c>
      <c r="N1025" s="2"/>
      <c r="O1025" s="3"/>
      <c r="Q1025"/>
      <c r="R1025" s="3"/>
      <c r="S1025" s="3"/>
      <c r="T1025"/>
      <c r="U1025"/>
      <c r="V1025"/>
      <c r="W1025"/>
      <c r="Z1025"/>
      <c r="AA1025"/>
      <c r="AD1025"/>
    </row>
    <row r="1026" spans="11:30" ht="18" customHeight="1">
      <c r="K1026" t="str">
        <f>IF(OR($I1026="Čaká na integráciu",$J1026="Integrácia"),"ÁNO","")</f>
        <v/>
      </c>
      <c r="L1026" t="str">
        <f>IF(OR($I1026="Čaká na biznis",$J1026="Biznis",$J1026="Švédsky biznis"),"ÁNO","")</f>
        <v/>
      </c>
      <c r="N1026" s="2"/>
      <c r="O1026" s="3"/>
      <c r="Q1026"/>
      <c r="R1026" s="3"/>
      <c r="S1026" s="3"/>
      <c r="T1026"/>
      <c r="U1026"/>
      <c r="V1026"/>
      <c r="W1026"/>
      <c r="Z1026"/>
      <c r="AA1026"/>
      <c r="AD1026"/>
    </row>
    <row r="1027" spans="11:30" ht="18" customHeight="1">
      <c r="K1027" t="str">
        <f>IF(OR($I1027="Čaká na integráciu",$J1027="Integrácia"),"ÁNO","")</f>
        <v/>
      </c>
      <c r="L1027" t="str">
        <f>IF(OR($I1027="Čaká na biznis",$J1027="Biznis",$J1027="Švédsky biznis"),"ÁNO","")</f>
        <v/>
      </c>
      <c r="N1027" s="2"/>
      <c r="O1027" s="3"/>
      <c r="Q1027"/>
      <c r="R1027" s="3"/>
      <c r="S1027" s="3"/>
      <c r="T1027"/>
      <c r="U1027"/>
      <c r="V1027"/>
      <c r="W1027"/>
      <c r="Z1027"/>
      <c r="AA1027"/>
      <c r="AD1027"/>
    </row>
    <row r="1028" spans="11:30" ht="18" customHeight="1">
      <c r="K1028" t="str">
        <f>IF(OR($I1028="Čaká na integráciu",$J1028="Integrácia"),"ÁNO","")</f>
        <v/>
      </c>
      <c r="L1028" t="str">
        <f>IF(OR($I1028="Čaká na biznis",$J1028="Biznis",$J1028="Švédsky biznis"),"ÁNO","")</f>
        <v/>
      </c>
      <c r="N1028" s="2"/>
      <c r="O1028" s="3"/>
      <c r="Q1028"/>
      <c r="R1028" s="3"/>
      <c r="S1028" s="3"/>
      <c r="T1028"/>
      <c r="U1028"/>
      <c r="V1028"/>
      <c r="W1028"/>
      <c r="Z1028"/>
      <c r="AA1028"/>
      <c r="AD1028"/>
    </row>
    <row r="1029" spans="11:30" ht="18" customHeight="1">
      <c r="K1029" t="str">
        <f>IF(OR($I1029="Čaká na integráciu",$J1029="Integrácia"),"ÁNO","")</f>
        <v/>
      </c>
      <c r="L1029" t="str">
        <f>IF(OR($I1029="Čaká na biznis",$J1029="Biznis",$J1029="Švédsky biznis"),"ÁNO","")</f>
        <v/>
      </c>
      <c r="N1029" s="2"/>
      <c r="O1029" s="3"/>
      <c r="Q1029"/>
      <c r="R1029" s="3"/>
      <c r="S1029" s="3"/>
      <c r="T1029"/>
      <c r="U1029"/>
      <c r="V1029"/>
      <c r="W1029"/>
      <c r="Z1029"/>
      <c r="AA1029"/>
      <c r="AD1029"/>
    </row>
    <row r="1030" spans="11:30" ht="18" customHeight="1">
      <c r="K1030" t="str">
        <f>IF(OR($I1030="Čaká na integráciu",$J1030="Integrácia"),"ÁNO","")</f>
        <v/>
      </c>
      <c r="L1030" t="str">
        <f>IF(OR($I1030="Čaká na biznis",$J1030="Biznis",$J1030="Švédsky biznis"),"ÁNO","")</f>
        <v/>
      </c>
      <c r="N1030" s="2"/>
      <c r="O1030" s="3"/>
      <c r="Q1030"/>
      <c r="R1030" s="3"/>
      <c r="S1030" s="3"/>
      <c r="T1030"/>
      <c r="U1030"/>
      <c r="V1030"/>
      <c r="W1030"/>
      <c r="Z1030"/>
      <c r="AA1030"/>
      <c r="AD1030"/>
    </row>
    <row r="1031" spans="11:30" ht="18" customHeight="1">
      <c r="K1031" t="str">
        <f>IF(OR($I1031="Čaká na integráciu",$J1031="Integrácia"),"ÁNO","")</f>
        <v/>
      </c>
      <c r="L1031" t="str">
        <f>IF(OR($I1031="Čaká na biznis",$J1031="Biznis",$J1031="Švédsky biznis"),"ÁNO","")</f>
        <v/>
      </c>
      <c r="N1031" s="2"/>
      <c r="O1031" s="3"/>
      <c r="Q1031"/>
      <c r="R1031" s="3"/>
      <c r="S1031" s="3"/>
      <c r="T1031"/>
      <c r="U1031"/>
      <c r="V1031"/>
      <c r="W1031"/>
      <c r="Z1031"/>
      <c r="AA1031"/>
      <c r="AD1031"/>
    </row>
    <row r="1032" spans="11:30" ht="18" customHeight="1">
      <c r="K1032" t="str">
        <f>IF(OR($I1032="Čaká na integráciu",$J1032="Integrácia"),"ÁNO","")</f>
        <v/>
      </c>
      <c r="L1032" t="str">
        <f>IF(OR($I1032="Čaká na biznis",$J1032="Biznis",$J1032="Švédsky biznis"),"ÁNO","")</f>
        <v/>
      </c>
      <c r="N1032" s="2"/>
      <c r="O1032" s="3"/>
      <c r="Q1032"/>
      <c r="R1032" s="3"/>
      <c r="S1032" s="3"/>
      <c r="T1032"/>
      <c r="U1032"/>
      <c r="V1032"/>
      <c r="W1032"/>
      <c r="Z1032"/>
      <c r="AA1032"/>
      <c r="AD1032"/>
    </row>
    <row r="1033" spans="11:30" ht="18" customHeight="1">
      <c r="K1033" t="str">
        <f>IF(OR($I1033="Čaká na integráciu",$J1033="Integrácia"),"ÁNO","")</f>
        <v/>
      </c>
      <c r="L1033" t="str">
        <f>IF(OR($I1033="Čaká na biznis",$J1033="Biznis",$J1033="Švédsky biznis"),"ÁNO","")</f>
        <v/>
      </c>
      <c r="N1033" s="2"/>
      <c r="O1033" s="3"/>
      <c r="Q1033"/>
      <c r="R1033" s="3"/>
      <c r="S1033" s="3"/>
      <c r="T1033"/>
      <c r="U1033"/>
      <c r="V1033"/>
      <c r="W1033"/>
      <c r="Z1033"/>
      <c r="AA1033"/>
      <c r="AD1033"/>
    </row>
    <row r="1034" spans="11:30" ht="18" customHeight="1">
      <c r="K1034" t="str">
        <f>IF(OR($I1034="Čaká na integráciu",$J1034="Integrácia"),"ÁNO","")</f>
        <v/>
      </c>
      <c r="L1034" t="str">
        <f>IF(OR($I1034="Čaká na biznis",$J1034="Biznis",$J1034="Švédsky biznis"),"ÁNO","")</f>
        <v/>
      </c>
      <c r="N1034" s="2"/>
      <c r="O1034" s="3"/>
      <c r="Q1034"/>
      <c r="R1034" s="3"/>
      <c r="S1034" s="3"/>
      <c r="T1034"/>
      <c r="U1034"/>
      <c r="V1034"/>
      <c r="W1034"/>
      <c r="Z1034"/>
      <c r="AA1034"/>
      <c r="AD1034"/>
    </row>
    <row r="1035" spans="11:30" ht="18" customHeight="1">
      <c r="K1035" t="str">
        <f>IF(OR($I1035="Čaká na integráciu",$J1035="Integrácia"),"ÁNO","")</f>
        <v/>
      </c>
      <c r="L1035" t="str">
        <f>IF(OR($I1035="Čaká na biznis",$J1035="Biznis",$J1035="Švédsky biznis"),"ÁNO","")</f>
        <v/>
      </c>
      <c r="N1035" s="2"/>
      <c r="O1035" s="3"/>
      <c r="Q1035"/>
      <c r="R1035" s="3"/>
      <c r="S1035" s="3"/>
      <c r="T1035"/>
      <c r="U1035"/>
      <c r="V1035"/>
      <c r="W1035"/>
      <c r="Z1035"/>
      <c r="AA1035"/>
      <c r="AD1035"/>
    </row>
    <row r="1036" spans="11:30" ht="18" customHeight="1">
      <c r="K1036" t="str">
        <f>IF(OR($I1036="Čaká na integráciu",$J1036="Integrácia"),"ÁNO","")</f>
        <v/>
      </c>
      <c r="L1036" t="str">
        <f>IF(OR($I1036="Čaká na biznis",$J1036="Biznis",$J1036="Švédsky biznis"),"ÁNO","")</f>
        <v/>
      </c>
      <c r="N1036" s="2"/>
      <c r="O1036" s="3"/>
      <c r="Q1036"/>
      <c r="R1036" s="3"/>
      <c r="S1036" s="3"/>
      <c r="T1036"/>
      <c r="U1036"/>
      <c r="V1036"/>
      <c r="W1036"/>
      <c r="Z1036"/>
      <c r="AA1036"/>
      <c r="AD1036"/>
    </row>
    <row r="1037" spans="11:30" ht="18" customHeight="1">
      <c r="K1037" t="str">
        <f>IF(OR($I1037="Čaká na integráciu",$J1037="Integrácia"),"ÁNO","")</f>
        <v/>
      </c>
      <c r="L1037" t="str">
        <f>IF(OR($I1037="Čaká na biznis",$J1037="Biznis",$J1037="Švédsky biznis"),"ÁNO","")</f>
        <v/>
      </c>
      <c r="N1037" s="2"/>
      <c r="O1037" s="3"/>
      <c r="Q1037"/>
      <c r="R1037" s="3"/>
      <c r="S1037" s="3"/>
      <c r="T1037"/>
      <c r="U1037"/>
      <c r="V1037"/>
      <c r="W1037"/>
      <c r="Z1037"/>
      <c r="AA1037"/>
      <c r="AD1037"/>
    </row>
    <row r="1038" spans="11:30" ht="18" customHeight="1">
      <c r="K1038" t="str">
        <f>IF(OR($I1038="Čaká na integráciu",$J1038="Integrácia"),"ÁNO","")</f>
        <v/>
      </c>
      <c r="L1038" t="str">
        <f>IF(OR($I1038="Čaká na biznis",$J1038="Biznis",$J1038="Švédsky biznis"),"ÁNO","")</f>
        <v/>
      </c>
      <c r="N1038" s="2"/>
      <c r="O1038" s="3"/>
      <c r="Q1038"/>
      <c r="R1038" s="3"/>
      <c r="S1038" s="3"/>
      <c r="T1038"/>
      <c r="U1038"/>
      <c r="V1038"/>
      <c r="W1038"/>
      <c r="Z1038"/>
      <c r="AA1038"/>
      <c r="AD1038"/>
    </row>
    <row r="1039" spans="11:30" ht="18" customHeight="1">
      <c r="K1039" t="str">
        <f>IF(OR($I1039="Čaká na integráciu",$J1039="Integrácia"),"ÁNO","")</f>
        <v/>
      </c>
      <c r="L1039" t="str">
        <f>IF(OR($I1039="Čaká na biznis",$J1039="Biznis",$J1039="Švédsky biznis"),"ÁNO","")</f>
        <v/>
      </c>
      <c r="N1039" s="2"/>
      <c r="O1039" s="3"/>
      <c r="Q1039"/>
      <c r="R1039" s="3"/>
      <c r="S1039" s="3"/>
      <c r="T1039"/>
      <c r="U1039"/>
      <c r="V1039"/>
      <c r="W1039"/>
      <c r="Z1039"/>
      <c r="AA1039"/>
      <c r="AD1039"/>
    </row>
    <row r="1040" spans="11:30" ht="18" customHeight="1">
      <c r="K1040" t="str">
        <f>IF(OR($I1040="Čaká na integráciu",$J1040="Integrácia"),"ÁNO","")</f>
        <v/>
      </c>
      <c r="L1040" t="str">
        <f>IF(OR($I1040="Čaká na biznis",$J1040="Biznis",$J1040="Švédsky biznis"),"ÁNO","")</f>
        <v/>
      </c>
      <c r="N1040" s="2"/>
      <c r="O1040" s="3"/>
      <c r="Q1040"/>
      <c r="R1040" s="3"/>
      <c r="S1040" s="3"/>
      <c r="T1040"/>
      <c r="U1040"/>
      <c r="V1040"/>
      <c r="W1040"/>
      <c r="Z1040"/>
      <c r="AA1040"/>
      <c r="AD1040"/>
    </row>
    <row r="1041" spans="11:30" ht="18" customHeight="1">
      <c r="K1041" t="str">
        <f>IF(OR($I1041="Čaká na integráciu",$J1041="Integrácia"),"ÁNO","")</f>
        <v/>
      </c>
      <c r="L1041" t="str">
        <f>IF(OR($I1041="Čaká na biznis",$J1041="Biznis",$J1041="Švédsky biznis"),"ÁNO","")</f>
        <v/>
      </c>
      <c r="N1041" s="2"/>
      <c r="O1041" s="3"/>
      <c r="Q1041"/>
      <c r="R1041" s="3"/>
      <c r="S1041" s="3"/>
      <c r="T1041"/>
      <c r="U1041"/>
      <c r="V1041"/>
      <c r="W1041"/>
      <c r="Z1041"/>
      <c r="AA1041"/>
      <c r="AD1041"/>
    </row>
    <row r="1042" spans="11:30" ht="18" customHeight="1">
      <c r="K1042" t="str">
        <f>IF(OR($I1042="Čaká na integráciu",$J1042="Integrácia"),"ÁNO","")</f>
        <v/>
      </c>
      <c r="L1042" t="str">
        <f>IF(OR($I1042="Čaká na biznis",$J1042="Biznis",$J1042="Švédsky biznis"),"ÁNO","")</f>
        <v/>
      </c>
      <c r="N1042" s="2"/>
      <c r="O1042" s="3"/>
      <c r="Q1042"/>
      <c r="R1042" s="3"/>
      <c r="S1042" s="3"/>
      <c r="T1042"/>
      <c r="U1042"/>
      <c r="V1042"/>
      <c r="W1042"/>
      <c r="Z1042"/>
      <c r="AA1042"/>
      <c r="AD1042"/>
    </row>
    <row r="1043" spans="11:30" ht="18" customHeight="1">
      <c r="K1043" t="str">
        <f>IF(OR($I1043="Čaká na integráciu",$J1043="Integrácia"),"ÁNO","")</f>
        <v/>
      </c>
      <c r="L1043" t="str">
        <f>IF(OR($I1043="Čaká na biznis",$J1043="Biznis",$J1043="Švédsky biznis"),"ÁNO","")</f>
        <v/>
      </c>
      <c r="N1043" s="2"/>
      <c r="O1043" s="3"/>
      <c r="Q1043"/>
      <c r="R1043" s="3"/>
      <c r="S1043" s="3"/>
      <c r="T1043"/>
      <c r="U1043"/>
      <c r="V1043"/>
      <c r="W1043"/>
      <c r="Z1043"/>
      <c r="AA1043"/>
      <c r="AD1043"/>
    </row>
    <row r="1044" spans="11:30" ht="18" customHeight="1">
      <c r="K1044" t="str">
        <f>IF(OR($I1044="Čaká na integráciu",$J1044="Integrácia"),"ÁNO","")</f>
        <v/>
      </c>
      <c r="L1044" t="str">
        <f>IF(OR($I1044="Čaká na biznis",$J1044="Biznis",$J1044="Švédsky biznis"),"ÁNO","")</f>
        <v/>
      </c>
      <c r="N1044" s="2"/>
      <c r="O1044" s="3"/>
      <c r="Q1044"/>
      <c r="R1044" s="3"/>
      <c r="S1044" s="3"/>
      <c r="T1044"/>
      <c r="U1044"/>
      <c r="V1044"/>
      <c r="W1044"/>
      <c r="Z1044"/>
      <c r="AA1044"/>
      <c r="AD1044"/>
    </row>
    <row r="1045" spans="11:30" ht="18" customHeight="1">
      <c r="K1045" t="str">
        <f>IF(OR($I1045="Čaká na integráciu",$J1045="Integrácia"),"ÁNO","")</f>
        <v/>
      </c>
      <c r="L1045" t="str">
        <f>IF(OR($I1045="Čaká na biznis",$J1045="Biznis",$J1045="Švédsky biznis"),"ÁNO","")</f>
        <v/>
      </c>
      <c r="N1045" s="2"/>
      <c r="O1045" s="3"/>
      <c r="Q1045"/>
      <c r="R1045" s="3"/>
      <c r="S1045" s="3"/>
      <c r="T1045"/>
      <c r="U1045"/>
      <c r="V1045"/>
      <c r="W1045"/>
      <c r="Z1045"/>
      <c r="AA1045"/>
      <c r="AD1045"/>
    </row>
    <row r="1046" spans="11:30" ht="18" customHeight="1">
      <c r="K1046" t="str">
        <f>IF(OR($I1046="Čaká na integráciu",$J1046="Integrácia"),"ÁNO","")</f>
        <v/>
      </c>
      <c r="L1046" t="str">
        <f>IF(OR($I1046="Čaká na biznis",$J1046="Biznis",$J1046="Švédsky biznis"),"ÁNO","")</f>
        <v/>
      </c>
      <c r="N1046" s="2"/>
      <c r="O1046" s="3"/>
      <c r="Q1046"/>
      <c r="R1046" s="3"/>
      <c r="S1046" s="3"/>
      <c r="T1046"/>
      <c r="U1046"/>
      <c r="V1046"/>
      <c r="W1046"/>
      <c r="Z1046"/>
      <c r="AA1046"/>
      <c r="AD1046"/>
    </row>
    <row r="1047" spans="11:30" ht="18" customHeight="1">
      <c r="K1047" t="str">
        <f>IF(OR($I1047="Čaká na integráciu",$J1047="Integrácia"),"ÁNO","")</f>
        <v/>
      </c>
      <c r="L1047" t="str">
        <f>IF(OR($I1047="Čaká na biznis",$J1047="Biznis",$J1047="Švédsky biznis"),"ÁNO","")</f>
        <v/>
      </c>
      <c r="N1047" s="2"/>
      <c r="O1047" s="3"/>
      <c r="Q1047"/>
      <c r="R1047" s="3"/>
      <c r="S1047" s="3"/>
      <c r="T1047"/>
      <c r="U1047"/>
      <c r="V1047"/>
      <c r="W1047"/>
      <c r="Z1047"/>
      <c r="AA1047"/>
      <c r="AD1047"/>
    </row>
    <row r="1048" spans="11:30" ht="18" customHeight="1">
      <c r="K1048" t="str">
        <f>IF(OR($I1048="Čaká na integráciu",$J1048="Integrácia"),"ÁNO","")</f>
        <v/>
      </c>
      <c r="L1048" t="str">
        <f>IF(OR($I1048="Čaká na biznis",$J1048="Biznis",$J1048="Švédsky biznis"),"ÁNO","")</f>
        <v/>
      </c>
      <c r="N1048" s="2"/>
      <c r="O1048" s="3"/>
      <c r="Q1048"/>
      <c r="R1048" s="3"/>
      <c r="S1048" s="3"/>
      <c r="T1048"/>
      <c r="U1048"/>
      <c r="V1048"/>
      <c r="W1048"/>
      <c r="Z1048"/>
      <c r="AA1048"/>
      <c r="AD1048"/>
    </row>
    <row r="1049" spans="11:30" ht="18" customHeight="1">
      <c r="K1049" t="str">
        <f>IF(OR($I1049="Čaká na integráciu",$J1049="Integrácia"),"ÁNO","")</f>
        <v/>
      </c>
      <c r="L1049" t="str">
        <f>IF(OR($I1049="Čaká na biznis",$J1049="Biznis",$J1049="Švédsky biznis"),"ÁNO","")</f>
        <v/>
      </c>
      <c r="N1049" s="2"/>
      <c r="O1049" s="3"/>
      <c r="Q1049"/>
      <c r="R1049" s="3"/>
      <c r="S1049" s="3"/>
      <c r="T1049"/>
      <c r="U1049"/>
      <c r="V1049"/>
      <c r="W1049"/>
      <c r="Z1049"/>
      <c r="AA1049"/>
      <c r="AD1049"/>
    </row>
    <row r="1050" spans="11:30" ht="18" customHeight="1">
      <c r="K1050" t="str">
        <f>IF(OR($I1050="Čaká na integráciu",$J1050="Integrácia"),"ÁNO","")</f>
        <v/>
      </c>
      <c r="L1050" t="str">
        <f>IF(OR($I1050="Čaká na biznis",$J1050="Biznis",$J1050="Švédsky biznis"),"ÁNO","")</f>
        <v/>
      </c>
      <c r="N1050" s="2"/>
      <c r="O1050" s="3"/>
      <c r="Q1050"/>
      <c r="R1050" s="3"/>
      <c r="S1050" s="3"/>
      <c r="T1050"/>
      <c r="U1050"/>
      <c r="V1050"/>
      <c r="W1050"/>
      <c r="Z1050"/>
      <c r="AA1050"/>
      <c r="AD1050"/>
    </row>
    <row r="1051" spans="11:30" ht="18" customHeight="1">
      <c r="K1051" t="str">
        <f>IF(OR($I1051="Čaká na integráciu",$J1051="Integrácia"),"ÁNO","")</f>
        <v/>
      </c>
      <c r="L1051" t="str">
        <f>IF(OR($I1051="Čaká na biznis",$J1051="Biznis",$J1051="Švédsky biznis"),"ÁNO","")</f>
        <v/>
      </c>
      <c r="N1051" s="2"/>
      <c r="O1051" s="3"/>
      <c r="Q1051"/>
      <c r="R1051" s="3"/>
      <c r="S1051" s="3"/>
      <c r="T1051"/>
      <c r="U1051"/>
      <c r="V1051"/>
      <c r="W1051"/>
      <c r="Z1051"/>
      <c r="AA1051"/>
      <c r="AD1051"/>
    </row>
    <row r="1052" spans="11:30" ht="18" customHeight="1">
      <c r="K1052" t="str">
        <f>IF(OR($I1052="Čaká na integráciu",$J1052="Integrácia"),"ÁNO","")</f>
        <v/>
      </c>
      <c r="L1052" t="str">
        <f>IF(OR($I1052="Čaká na biznis",$J1052="Biznis",$J1052="Švédsky biznis"),"ÁNO","")</f>
        <v/>
      </c>
      <c r="N1052" s="2"/>
      <c r="O1052" s="3"/>
      <c r="Q1052"/>
      <c r="R1052" s="3"/>
      <c r="S1052" s="3"/>
      <c r="T1052"/>
      <c r="U1052"/>
      <c r="V1052"/>
      <c r="W1052"/>
      <c r="Z1052"/>
      <c r="AA1052"/>
      <c r="AD1052"/>
    </row>
    <row r="1053" spans="11:30" ht="18" customHeight="1">
      <c r="K1053" t="str">
        <f>IF(OR($I1053="Čaká na integráciu",$J1053="Integrácia"),"ÁNO","")</f>
        <v/>
      </c>
      <c r="L1053" t="str">
        <f>IF(OR($I1053="Čaká na biznis",$J1053="Biznis",$J1053="Švédsky biznis"),"ÁNO","")</f>
        <v/>
      </c>
      <c r="N1053" s="2"/>
      <c r="O1053" s="3"/>
      <c r="Q1053"/>
      <c r="R1053" s="3"/>
      <c r="S1053" s="3"/>
      <c r="T1053"/>
      <c r="U1053"/>
      <c r="V1053"/>
      <c r="W1053"/>
      <c r="Z1053"/>
      <c r="AA1053"/>
      <c r="AD1053"/>
    </row>
    <row r="1054" spans="11:30" ht="18" customHeight="1">
      <c r="K1054" t="str">
        <f>IF(OR($I1054="Čaká na integráciu",$J1054="Integrácia"),"ÁNO","")</f>
        <v/>
      </c>
      <c r="L1054" t="str">
        <f>IF(OR($I1054="Čaká na biznis",$J1054="Biznis",$J1054="Švédsky biznis"),"ÁNO","")</f>
        <v/>
      </c>
      <c r="N1054" s="2"/>
      <c r="O1054" s="3"/>
      <c r="Q1054"/>
      <c r="R1054" s="3"/>
      <c r="S1054" s="3"/>
      <c r="T1054"/>
      <c r="U1054"/>
      <c r="V1054"/>
      <c r="W1054"/>
      <c r="Z1054"/>
      <c r="AA1054"/>
      <c r="AD1054"/>
    </row>
    <row r="1055" spans="11:30" ht="18" customHeight="1">
      <c r="K1055" t="str">
        <f>IF(OR($I1055="Čaká na integráciu",$J1055="Integrácia"),"ÁNO","")</f>
        <v/>
      </c>
      <c r="L1055" t="str">
        <f>IF(OR($I1055="Čaká na biznis",$J1055="Biznis",$J1055="Švédsky biznis"),"ÁNO","")</f>
        <v/>
      </c>
      <c r="N1055" s="2"/>
      <c r="O1055" s="3"/>
      <c r="Q1055"/>
      <c r="R1055" s="3"/>
      <c r="S1055" s="3"/>
      <c r="T1055"/>
      <c r="U1055"/>
      <c r="V1055"/>
      <c r="W1055"/>
      <c r="Z1055"/>
      <c r="AA1055"/>
      <c r="AD1055"/>
    </row>
    <row r="1056" spans="11:30" ht="18" customHeight="1">
      <c r="K1056" t="str">
        <f>IF(OR($I1056="Čaká na integráciu",$J1056="Integrácia"),"ÁNO","")</f>
        <v/>
      </c>
      <c r="L1056" t="str">
        <f>IF(OR($I1056="Čaká na biznis",$J1056="Biznis",$J1056="Švédsky biznis"),"ÁNO","")</f>
        <v/>
      </c>
      <c r="N1056" s="2"/>
      <c r="O1056" s="3"/>
      <c r="Q1056"/>
      <c r="R1056" s="3"/>
      <c r="S1056" s="3"/>
      <c r="T1056"/>
      <c r="U1056"/>
      <c r="V1056"/>
      <c r="W1056"/>
      <c r="Z1056"/>
      <c r="AA1056"/>
      <c r="AD1056"/>
    </row>
    <row r="1057" spans="11:30" ht="18" customHeight="1">
      <c r="K1057" t="str">
        <f>IF(OR($I1057="Čaká na integráciu",$J1057="Integrácia"),"ÁNO","")</f>
        <v/>
      </c>
      <c r="L1057" t="str">
        <f>IF(OR($I1057="Čaká na biznis",$J1057="Biznis",$J1057="Švédsky biznis"),"ÁNO","")</f>
        <v/>
      </c>
      <c r="N1057" s="2"/>
      <c r="O1057" s="3"/>
      <c r="Q1057"/>
      <c r="R1057" s="3"/>
      <c r="S1057" s="3"/>
      <c r="T1057"/>
      <c r="U1057"/>
      <c r="V1057"/>
      <c r="W1057"/>
      <c r="Z1057"/>
      <c r="AA1057"/>
      <c r="AD1057"/>
    </row>
    <row r="1058" spans="11:30" ht="18" customHeight="1">
      <c r="K1058" t="str">
        <f>IF(OR($I1058="Čaká na integráciu",$J1058="Integrácia"),"ÁNO","")</f>
        <v/>
      </c>
      <c r="L1058" t="str">
        <f>IF(OR($I1058="Čaká na biznis",$J1058="Biznis",$J1058="Švédsky biznis"),"ÁNO","")</f>
        <v/>
      </c>
      <c r="N1058" s="2"/>
      <c r="O1058" s="3"/>
      <c r="Q1058"/>
      <c r="R1058" s="3"/>
      <c r="S1058" s="3"/>
      <c r="T1058"/>
      <c r="U1058"/>
      <c r="V1058"/>
      <c r="W1058"/>
      <c r="Z1058"/>
      <c r="AA1058"/>
      <c r="AD1058"/>
    </row>
    <row r="1059" spans="11:30" ht="18" customHeight="1">
      <c r="K1059" t="str">
        <f>IF(OR($I1059="Čaká na integráciu",$J1059="Integrácia"),"ÁNO","")</f>
        <v/>
      </c>
      <c r="L1059" t="str">
        <f>IF(OR($I1059="Čaká na biznis",$J1059="Biznis",$J1059="Švédsky biznis"),"ÁNO","")</f>
        <v/>
      </c>
      <c r="N1059" s="2"/>
      <c r="O1059" s="3"/>
      <c r="Q1059"/>
      <c r="R1059" s="3"/>
      <c r="S1059" s="3"/>
      <c r="T1059"/>
      <c r="U1059"/>
      <c r="V1059"/>
      <c r="W1059"/>
      <c r="Z1059"/>
      <c r="AA1059"/>
      <c r="AD1059"/>
    </row>
    <row r="1060" spans="11:30" ht="18" customHeight="1">
      <c r="K1060" t="str">
        <f>IF(OR($I1060="Čaká na integráciu",$J1060="Integrácia"),"ÁNO","")</f>
        <v/>
      </c>
      <c r="L1060" t="str">
        <f>IF(OR($I1060="Čaká na biznis",$J1060="Biznis",$J1060="Švédsky biznis"),"ÁNO","")</f>
        <v/>
      </c>
      <c r="N1060" s="2"/>
      <c r="O1060" s="3"/>
      <c r="Q1060"/>
      <c r="R1060" s="3"/>
      <c r="S1060" s="3"/>
      <c r="T1060"/>
      <c r="U1060"/>
      <c r="V1060"/>
      <c r="W1060"/>
      <c r="Z1060"/>
      <c r="AA1060"/>
      <c r="AD1060"/>
    </row>
    <row r="1061" spans="11:30" ht="18" customHeight="1">
      <c r="K1061" t="str">
        <f>IF(OR($I1061="Čaká na integráciu",$J1061="Integrácia"),"ÁNO","")</f>
        <v/>
      </c>
      <c r="L1061" t="str">
        <f>IF(OR($I1061="Čaká na biznis",$J1061="Biznis",$J1061="Švédsky biznis"),"ÁNO","")</f>
        <v/>
      </c>
      <c r="N1061" s="2"/>
      <c r="O1061" s="3"/>
      <c r="Q1061"/>
      <c r="R1061" s="3"/>
      <c r="S1061" s="3"/>
      <c r="T1061"/>
      <c r="U1061"/>
      <c r="V1061"/>
      <c r="W1061"/>
      <c r="Z1061"/>
      <c r="AA1061"/>
      <c r="AD1061"/>
    </row>
    <row r="1062" spans="11:30" ht="18" customHeight="1">
      <c r="K1062" t="str">
        <f>IF(OR($I1062="Čaká na integráciu",$J1062="Integrácia"),"ÁNO","")</f>
        <v/>
      </c>
      <c r="L1062" t="str">
        <f>IF(OR($I1062="Čaká na biznis",$J1062="Biznis",$J1062="Švédsky biznis"),"ÁNO","")</f>
        <v/>
      </c>
      <c r="N1062" s="2"/>
      <c r="O1062" s="3"/>
      <c r="Q1062"/>
      <c r="R1062" s="3"/>
      <c r="S1062" s="3"/>
      <c r="T1062"/>
      <c r="U1062"/>
      <c r="V1062"/>
      <c r="W1062"/>
      <c r="Z1062"/>
      <c r="AA1062"/>
      <c r="AD1062"/>
    </row>
    <row r="1063" spans="11:30" ht="18" customHeight="1">
      <c r="K1063" t="str">
        <f>IF(OR($I1063="Čaká na integráciu",$J1063="Integrácia"),"ÁNO","")</f>
        <v/>
      </c>
      <c r="L1063" t="str">
        <f>IF(OR($I1063="Čaká na biznis",$J1063="Biznis",$J1063="Švédsky biznis"),"ÁNO","")</f>
        <v/>
      </c>
      <c r="N1063" s="2"/>
      <c r="O1063" s="3"/>
      <c r="Q1063"/>
      <c r="R1063" s="3"/>
      <c r="S1063" s="3"/>
      <c r="T1063"/>
      <c r="U1063"/>
      <c r="V1063"/>
      <c r="W1063"/>
      <c r="Z1063"/>
      <c r="AA1063"/>
      <c r="AD1063"/>
    </row>
    <row r="1064" spans="11:30" ht="18" customHeight="1">
      <c r="K1064" t="str">
        <f>IF(OR($I1064="Čaká na integráciu",$J1064="Integrácia"),"ÁNO","")</f>
        <v/>
      </c>
      <c r="L1064" t="str">
        <f>IF(OR($I1064="Čaká na biznis",$J1064="Biznis",$J1064="Švédsky biznis"),"ÁNO","")</f>
        <v/>
      </c>
      <c r="N1064" s="2"/>
      <c r="O1064" s="3"/>
      <c r="Q1064"/>
      <c r="R1064" s="3"/>
      <c r="S1064" s="3"/>
      <c r="T1064"/>
      <c r="U1064"/>
      <c r="V1064"/>
      <c r="W1064"/>
      <c r="Z1064"/>
      <c r="AA1064"/>
      <c r="AD1064"/>
    </row>
    <row r="1065" spans="11:30" ht="18" customHeight="1">
      <c r="K1065" t="str">
        <f>IF(OR($I1065="Čaká na integráciu",$J1065="Integrácia"),"ÁNO","")</f>
        <v/>
      </c>
      <c r="L1065" t="str">
        <f>IF(OR($I1065="Čaká na biznis",$J1065="Biznis",$J1065="Švédsky biznis"),"ÁNO","")</f>
        <v/>
      </c>
      <c r="N1065" s="2"/>
      <c r="O1065" s="3"/>
      <c r="Q1065"/>
      <c r="R1065" s="3"/>
      <c r="S1065" s="3"/>
      <c r="T1065"/>
      <c r="U1065"/>
      <c r="V1065"/>
      <c r="W1065"/>
      <c r="Z1065"/>
      <c r="AA1065"/>
      <c r="AD1065"/>
    </row>
    <row r="1066" spans="11:30" ht="18" customHeight="1">
      <c r="K1066" t="str">
        <f>IF(OR($I1066="Čaká na integráciu",$J1066="Integrácia"),"ÁNO","")</f>
        <v/>
      </c>
      <c r="L1066" t="str">
        <f>IF(OR($I1066="Čaká na biznis",$J1066="Biznis",$J1066="Švédsky biznis"),"ÁNO","")</f>
        <v/>
      </c>
      <c r="N1066" s="2"/>
      <c r="O1066" s="3"/>
      <c r="Q1066"/>
      <c r="R1066" s="3"/>
      <c r="S1066" s="3"/>
      <c r="T1066"/>
      <c r="U1066"/>
      <c r="V1066"/>
      <c r="W1066"/>
      <c r="Z1066"/>
      <c r="AA1066"/>
      <c r="AD1066"/>
    </row>
    <row r="1067" spans="11:30" ht="18" customHeight="1">
      <c r="K1067" t="str">
        <f>IF(OR($I1067="Čaká na integráciu",$J1067="Integrácia"),"ÁNO","")</f>
        <v/>
      </c>
      <c r="L1067" t="str">
        <f>IF(OR($I1067="Čaká na biznis",$J1067="Biznis",$J1067="Švédsky biznis"),"ÁNO","")</f>
        <v/>
      </c>
      <c r="N1067" s="2"/>
      <c r="O1067" s="3"/>
      <c r="Q1067"/>
      <c r="R1067" s="3"/>
      <c r="S1067" s="3"/>
      <c r="T1067"/>
      <c r="U1067"/>
      <c r="V1067"/>
      <c r="W1067"/>
      <c r="Z1067"/>
      <c r="AA1067"/>
      <c r="AD1067"/>
    </row>
    <row r="1068" spans="11:30" ht="18" customHeight="1">
      <c r="K1068" t="str">
        <f>IF(OR($I1068="Čaká na integráciu",$J1068="Integrácia"),"ÁNO","")</f>
        <v/>
      </c>
      <c r="L1068" t="str">
        <f>IF(OR($I1068="Čaká na biznis",$J1068="Biznis",$J1068="Švédsky biznis"),"ÁNO","")</f>
        <v/>
      </c>
      <c r="N1068" s="2"/>
      <c r="O1068" s="3"/>
      <c r="Q1068"/>
      <c r="R1068" s="3"/>
      <c r="S1068" s="3"/>
      <c r="T1068"/>
      <c r="U1068"/>
      <c r="V1068"/>
      <c r="W1068"/>
      <c r="Z1068"/>
      <c r="AA1068"/>
      <c r="AD1068"/>
    </row>
    <row r="1069" spans="11:30" ht="18" customHeight="1">
      <c r="K1069" t="str">
        <f>IF(OR($I1069="Čaká na integráciu",$J1069="Integrácia"),"ÁNO","")</f>
        <v/>
      </c>
      <c r="L1069" t="str">
        <f>IF(OR($I1069="Čaká na biznis",$J1069="Biznis",$J1069="Švédsky biznis"),"ÁNO","")</f>
        <v/>
      </c>
      <c r="N1069" s="2"/>
      <c r="O1069" s="3"/>
      <c r="Q1069"/>
      <c r="R1069" s="3"/>
      <c r="S1069" s="3"/>
      <c r="T1069"/>
      <c r="U1069"/>
      <c r="V1069"/>
      <c r="W1069"/>
      <c r="Z1069"/>
      <c r="AA1069"/>
      <c r="AD1069"/>
    </row>
    <row r="1070" spans="11:30" ht="18" customHeight="1">
      <c r="K1070" t="str">
        <f>IF(OR($I1070="Čaká na integráciu",$J1070="Integrácia"),"ÁNO","")</f>
        <v/>
      </c>
      <c r="L1070" t="str">
        <f>IF(OR($I1070="Čaká na biznis",$J1070="Biznis",$J1070="Švédsky biznis"),"ÁNO","")</f>
        <v/>
      </c>
      <c r="N1070" s="2"/>
      <c r="O1070" s="3"/>
      <c r="Q1070"/>
      <c r="R1070" s="3"/>
      <c r="S1070" s="3"/>
      <c r="T1070"/>
      <c r="U1070"/>
      <c r="V1070"/>
      <c r="W1070"/>
      <c r="Z1070"/>
      <c r="AA1070"/>
      <c r="AD1070"/>
    </row>
    <row r="1071" spans="11:30" ht="18" customHeight="1">
      <c r="K1071" t="str">
        <f>IF(OR($I1071="Čaká na integráciu",$J1071="Integrácia"),"ÁNO","")</f>
        <v/>
      </c>
      <c r="L1071" t="str">
        <f>IF(OR($I1071="Čaká na biznis",$J1071="Biznis",$J1071="Švédsky biznis"),"ÁNO","")</f>
        <v/>
      </c>
      <c r="N1071" s="2"/>
      <c r="O1071" s="3"/>
      <c r="Q1071"/>
      <c r="R1071" s="3"/>
      <c r="S1071" s="3"/>
      <c r="T1071"/>
      <c r="U1071"/>
      <c r="V1071"/>
      <c r="W1071"/>
      <c r="Z1071"/>
      <c r="AA1071"/>
      <c r="AD1071"/>
    </row>
    <row r="1072" spans="11:30" ht="18" customHeight="1">
      <c r="K1072" t="str">
        <f>IF(OR($I1072="Čaká na integráciu",$J1072="Integrácia"),"ÁNO","")</f>
        <v/>
      </c>
      <c r="L1072" t="str">
        <f>IF(OR($I1072="Čaká na biznis",$J1072="Biznis",$J1072="Švédsky biznis"),"ÁNO","")</f>
        <v/>
      </c>
      <c r="N1072" s="2"/>
      <c r="O1072" s="3"/>
      <c r="Q1072"/>
      <c r="R1072" s="3"/>
      <c r="S1072" s="3"/>
      <c r="T1072"/>
      <c r="U1072"/>
      <c r="V1072"/>
      <c r="W1072"/>
      <c r="Z1072"/>
      <c r="AA1072"/>
      <c r="AD1072"/>
    </row>
    <row r="1073" spans="11:30" ht="18" customHeight="1">
      <c r="K1073" t="str">
        <f>IF(OR($I1073="Čaká na integráciu",$J1073="Integrácia"),"ÁNO","")</f>
        <v/>
      </c>
      <c r="L1073" t="str">
        <f>IF(OR($I1073="Čaká na biznis",$J1073="Biznis",$J1073="Švédsky biznis"),"ÁNO","")</f>
        <v/>
      </c>
      <c r="N1073" s="2"/>
      <c r="O1073" s="3"/>
      <c r="Q1073"/>
      <c r="R1073" s="3"/>
      <c r="S1073" s="3"/>
      <c r="T1073"/>
      <c r="U1073"/>
      <c r="V1073"/>
      <c r="W1073"/>
      <c r="Z1073"/>
      <c r="AA1073"/>
      <c r="AD1073"/>
    </row>
    <row r="1074" spans="11:30" ht="18" customHeight="1">
      <c r="K1074" t="str">
        <f>IF(OR($I1074="Čaká na integráciu",$J1074="Integrácia"),"ÁNO","")</f>
        <v/>
      </c>
      <c r="L1074" t="str">
        <f>IF(OR($I1074="Čaká na biznis",$J1074="Biznis",$J1074="Švédsky biznis"),"ÁNO","")</f>
        <v/>
      </c>
      <c r="N1074" s="2"/>
      <c r="O1074" s="3"/>
      <c r="Q1074"/>
      <c r="R1074" s="3"/>
      <c r="S1074" s="3"/>
      <c r="T1074"/>
      <c r="U1074"/>
      <c r="V1074"/>
      <c r="W1074"/>
      <c r="Z1074"/>
      <c r="AA1074"/>
      <c r="AD1074"/>
    </row>
    <row r="1075" spans="11:30" ht="18" customHeight="1">
      <c r="K1075" t="str">
        <f>IF(OR($I1075="Čaká na integráciu",$J1075="Integrácia"),"ÁNO","")</f>
        <v/>
      </c>
      <c r="L1075" t="str">
        <f>IF(OR($I1075="Čaká na biznis",$J1075="Biznis",$J1075="Švédsky biznis"),"ÁNO","")</f>
        <v/>
      </c>
      <c r="N1075" s="2"/>
      <c r="O1075" s="3"/>
      <c r="Q1075"/>
      <c r="R1075" s="3"/>
      <c r="S1075" s="3"/>
      <c r="T1075"/>
      <c r="U1075"/>
      <c r="V1075"/>
      <c r="W1075"/>
      <c r="Z1075"/>
      <c r="AA1075"/>
      <c r="AD1075"/>
    </row>
    <row r="1076" spans="11:30" ht="18" customHeight="1">
      <c r="K1076" t="str">
        <f>IF(OR($I1076="Čaká na integráciu",$J1076="Integrácia"),"ÁNO","")</f>
        <v/>
      </c>
      <c r="L1076" t="str">
        <f>IF(OR($I1076="Čaká na biznis",$J1076="Biznis",$J1076="Švédsky biznis"),"ÁNO","")</f>
        <v/>
      </c>
      <c r="N1076" s="2"/>
      <c r="O1076" s="3"/>
      <c r="Q1076"/>
      <c r="R1076" s="3"/>
      <c r="S1076" s="3"/>
      <c r="T1076"/>
      <c r="U1076"/>
      <c r="V1076"/>
      <c r="W1076"/>
      <c r="Z1076"/>
      <c r="AA1076"/>
      <c r="AD1076"/>
    </row>
    <row r="1077" spans="11:30" ht="18" customHeight="1">
      <c r="K1077" t="str">
        <f>IF(OR($I1077="Čaká na integráciu",$J1077="Integrácia"),"ÁNO","")</f>
        <v/>
      </c>
      <c r="L1077" t="str">
        <f>IF(OR($I1077="Čaká na biznis",$J1077="Biznis",$J1077="Švédsky biznis"),"ÁNO","")</f>
        <v/>
      </c>
      <c r="N1077" s="2"/>
      <c r="O1077" s="3"/>
      <c r="Q1077"/>
      <c r="R1077" s="3"/>
      <c r="S1077" s="3"/>
      <c r="T1077"/>
      <c r="U1077"/>
      <c r="V1077"/>
      <c r="W1077"/>
      <c r="Z1077"/>
      <c r="AA1077"/>
      <c r="AD1077"/>
    </row>
    <row r="1078" spans="11:30" ht="18" customHeight="1">
      <c r="K1078" t="str">
        <f>IF(OR($I1078="Čaká na integráciu",$J1078="Integrácia"),"ÁNO","")</f>
        <v/>
      </c>
      <c r="L1078" t="str">
        <f>IF(OR($I1078="Čaká na biznis",$J1078="Biznis",$J1078="Švédsky biznis"),"ÁNO","")</f>
        <v/>
      </c>
      <c r="N1078" s="2"/>
      <c r="O1078" s="3"/>
      <c r="Q1078"/>
      <c r="R1078" s="3"/>
      <c r="S1078" s="3"/>
      <c r="T1078"/>
      <c r="U1078"/>
      <c r="V1078"/>
      <c r="W1078"/>
      <c r="Z1078"/>
      <c r="AA1078"/>
      <c r="AD1078"/>
    </row>
    <row r="1079" spans="11:30" ht="18" customHeight="1">
      <c r="K1079" t="str">
        <f>IF(OR($I1079="Čaká na integráciu",$J1079="Integrácia"),"ÁNO","")</f>
        <v/>
      </c>
      <c r="L1079" t="str">
        <f>IF(OR($I1079="Čaká na biznis",$J1079="Biznis",$J1079="Švédsky biznis"),"ÁNO","")</f>
        <v/>
      </c>
      <c r="N1079" s="2"/>
      <c r="O1079" s="3"/>
      <c r="Q1079"/>
      <c r="R1079" s="3"/>
      <c r="S1079" s="3"/>
      <c r="T1079"/>
      <c r="U1079"/>
      <c r="V1079"/>
      <c r="W1079"/>
      <c r="Z1079"/>
      <c r="AA1079"/>
      <c r="AD1079"/>
    </row>
    <row r="1080" spans="11:30" ht="18" customHeight="1">
      <c r="K1080" t="str">
        <f>IF(OR($I1080="Čaká na integráciu",$J1080="Integrácia"),"ÁNO","")</f>
        <v/>
      </c>
      <c r="L1080" t="str">
        <f>IF(OR($I1080="Čaká na biznis",$J1080="Biznis",$J1080="Švédsky biznis"),"ÁNO","")</f>
        <v/>
      </c>
      <c r="N1080" s="2"/>
      <c r="O1080" s="3"/>
      <c r="Q1080"/>
      <c r="R1080" s="3"/>
      <c r="S1080" s="3"/>
      <c r="T1080"/>
      <c r="U1080"/>
      <c r="V1080"/>
      <c r="W1080"/>
      <c r="Z1080"/>
      <c r="AA1080"/>
      <c r="AD1080"/>
    </row>
    <row r="1081" spans="11:30" ht="18" customHeight="1">
      <c r="K1081" t="str">
        <f>IF(OR($I1081="Čaká na integráciu",$J1081="Integrácia"),"ÁNO","")</f>
        <v/>
      </c>
      <c r="L1081" t="str">
        <f>IF(OR($I1081="Čaká na biznis",$J1081="Biznis",$J1081="Švédsky biznis"),"ÁNO","")</f>
        <v/>
      </c>
      <c r="N1081" s="2"/>
      <c r="O1081" s="3"/>
      <c r="Q1081"/>
      <c r="R1081" s="3"/>
      <c r="S1081" s="3"/>
      <c r="T1081"/>
      <c r="U1081"/>
      <c r="V1081"/>
      <c r="W1081"/>
      <c r="Z1081"/>
      <c r="AA1081"/>
      <c r="AD1081"/>
    </row>
    <row r="1082" spans="11:30" ht="18" customHeight="1">
      <c r="K1082" t="str">
        <f>IF(OR($I1082="Čaká na integráciu",$J1082="Integrácia"),"ÁNO","")</f>
        <v/>
      </c>
      <c r="L1082" t="str">
        <f>IF(OR($I1082="Čaká na biznis",$J1082="Biznis",$J1082="Švédsky biznis"),"ÁNO","")</f>
        <v/>
      </c>
      <c r="N1082" s="2"/>
      <c r="O1082" s="3"/>
      <c r="Q1082"/>
      <c r="R1082" s="3"/>
      <c r="S1082" s="3"/>
      <c r="T1082"/>
      <c r="U1082"/>
      <c r="V1082"/>
      <c r="W1082"/>
      <c r="Z1082"/>
      <c r="AA1082"/>
      <c r="AD1082"/>
    </row>
    <row r="1083" spans="11:30" ht="18" customHeight="1">
      <c r="K1083" t="str">
        <f>IF(OR($I1083="Čaká na integráciu",$J1083="Integrácia"),"ÁNO","")</f>
        <v/>
      </c>
      <c r="L1083" t="str">
        <f>IF(OR($I1083="Čaká na biznis",$J1083="Biznis",$J1083="Švédsky biznis"),"ÁNO","")</f>
        <v/>
      </c>
      <c r="N1083" s="2"/>
      <c r="O1083" s="3"/>
      <c r="Q1083"/>
      <c r="R1083" s="3"/>
      <c r="S1083" s="3"/>
      <c r="T1083"/>
      <c r="U1083"/>
      <c r="V1083"/>
      <c r="W1083"/>
      <c r="Z1083"/>
      <c r="AA1083"/>
      <c r="AD1083"/>
    </row>
    <row r="1084" spans="11:30" ht="18" customHeight="1">
      <c r="K1084" t="str">
        <f>IF(OR($I1084="Čaká na integráciu",$J1084="Integrácia"),"ÁNO","")</f>
        <v/>
      </c>
      <c r="L1084" t="str">
        <f>IF(OR($I1084="Čaká na biznis",$J1084="Biznis",$J1084="Švédsky biznis"),"ÁNO","")</f>
        <v/>
      </c>
      <c r="N1084" s="2"/>
      <c r="O1084" s="3"/>
      <c r="Q1084"/>
      <c r="R1084" s="3"/>
      <c r="S1084" s="3"/>
      <c r="T1084"/>
      <c r="U1084"/>
      <c r="V1084"/>
      <c r="W1084"/>
      <c r="Z1084"/>
      <c r="AA1084"/>
      <c r="AD1084"/>
    </row>
    <row r="1085" spans="11:30" ht="18" customHeight="1">
      <c r="K1085" t="str">
        <f>IF(OR($I1085="Čaká na integráciu",$J1085="Integrácia"),"ÁNO","")</f>
        <v/>
      </c>
      <c r="L1085" t="str">
        <f>IF(OR($I1085="Čaká na biznis",$J1085="Biznis",$J1085="Švédsky biznis"),"ÁNO","")</f>
        <v/>
      </c>
      <c r="N1085" s="2"/>
      <c r="O1085" s="3"/>
      <c r="Q1085"/>
      <c r="R1085" s="3"/>
      <c r="S1085" s="3"/>
      <c r="T1085"/>
      <c r="U1085"/>
      <c r="V1085"/>
      <c r="W1085"/>
      <c r="Z1085"/>
      <c r="AA1085"/>
      <c r="AD1085"/>
    </row>
    <row r="1086" spans="11:30" ht="18" customHeight="1">
      <c r="K1086" t="str">
        <f>IF(OR($I1086="Čaká na integráciu",$J1086="Integrácia"),"ÁNO","")</f>
        <v/>
      </c>
      <c r="L1086" t="str">
        <f>IF(OR($I1086="Čaká na biznis",$J1086="Biznis",$J1086="Švédsky biznis"),"ÁNO","")</f>
        <v/>
      </c>
      <c r="N1086" s="2"/>
      <c r="O1086" s="3"/>
      <c r="Q1086"/>
      <c r="R1086" s="3"/>
      <c r="S1086" s="3"/>
      <c r="T1086"/>
      <c r="U1086"/>
      <c r="V1086"/>
      <c r="W1086"/>
      <c r="Z1086"/>
      <c r="AA1086"/>
      <c r="AD1086"/>
    </row>
    <row r="1087" spans="11:30" ht="18" customHeight="1">
      <c r="K1087" t="str">
        <f>IF(OR($I1087="Čaká na integráciu",$J1087="Integrácia"),"ÁNO","")</f>
        <v/>
      </c>
      <c r="L1087" t="str">
        <f>IF(OR($I1087="Čaká na biznis",$J1087="Biznis",$J1087="Švédsky biznis"),"ÁNO","")</f>
        <v/>
      </c>
      <c r="N1087" s="2"/>
      <c r="O1087" s="3"/>
      <c r="Q1087"/>
      <c r="R1087" s="3"/>
      <c r="S1087" s="3"/>
      <c r="T1087"/>
      <c r="U1087"/>
      <c r="V1087"/>
      <c r="W1087"/>
      <c r="Z1087"/>
      <c r="AA1087"/>
      <c r="AD1087"/>
    </row>
    <row r="1088" spans="11:30" ht="18" customHeight="1">
      <c r="K1088" t="str">
        <f>IF(OR($I1088="Čaká na integráciu",$J1088="Integrácia"),"ÁNO","")</f>
        <v/>
      </c>
      <c r="L1088" t="str">
        <f>IF(OR($I1088="Čaká na biznis",$J1088="Biznis",$J1088="Švédsky biznis"),"ÁNO","")</f>
        <v/>
      </c>
      <c r="N1088" s="2"/>
      <c r="O1088" s="3"/>
      <c r="Q1088"/>
      <c r="R1088" s="3"/>
      <c r="S1088" s="3"/>
      <c r="T1088"/>
      <c r="U1088"/>
      <c r="V1088"/>
      <c r="W1088"/>
      <c r="Z1088"/>
      <c r="AA1088"/>
      <c r="AD1088"/>
    </row>
    <row r="1089" spans="11:30" ht="18" customHeight="1">
      <c r="K1089" t="str">
        <f>IF(OR($I1089="Čaká na integráciu",$J1089="Integrácia"),"ÁNO","")</f>
        <v/>
      </c>
      <c r="L1089" t="str">
        <f>IF(OR($I1089="Čaká na biznis",$J1089="Biznis",$J1089="Švédsky biznis"),"ÁNO","")</f>
        <v/>
      </c>
      <c r="N1089" s="2"/>
      <c r="O1089" s="3"/>
      <c r="Q1089"/>
      <c r="R1089" s="3"/>
      <c r="S1089" s="3"/>
      <c r="T1089"/>
      <c r="U1089"/>
      <c r="V1089"/>
      <c r="W1089"/>
      <c r="Z1089"/>
      <c r="AA1089"/>
      <c r="AD1089"/>
    </row>
    <row r="1090" spans="11:30" ht="18" customHeight="1">
      <c r="K1090" t="str">
        <f>IF(OR($I1090="Čaká na integráciu",$J1090="Integrácia"),"ÁNO","")</f>
        <v/>
      </c>
      <c r="L1090" t="str">
        <f>IF(OR($I1090="Čaká na biznis",$J1090="Biznis",$J1090="Švédsky biznis"),"ÁNO","")</f>
        <v/>
      </c>
      <c r="N1090" s="2"/>
      <c r="O1090" s="3"/>
      <c r="Q1090"/>
      <c r="R1090" s="3"/>
      <c r="S1090" s="3"/>
      <c r="T1090"/>
      <c r="U1090"/>
      <c r="V1090"/>
      <c r="W1090"/>
      <c r="Z1090"/>
      <c r="AA1090"/>
      <c r="AD1090"/>
    </row>
    <row r="1091" spans="11:30" ht="18" customHeight="1">
      <c r="K1091" t="str">
        <f>IF(OR($I1091="Čaká na integráciu",$J1091="Integrácia"),"ÁNO","")</f>
        <v/>
      </c>
      <c r="L1091" t="str">
        <f>IF(OR($I1091="Čaká na biznis",$J1091="Biznis",$J1091="Švédsky biznis"),"ÁNO","")</f>
        <v/>
      </c>
      <c r="N1091" s="2"/>
      <c r="O1091" s="3"/>
      <c r="Q1091"/>
      <c r="R1091" s="3"/>
      <c r="S1091" s="3"/>
      <c r="T1091"/>
      <c r="U1091"/>
      <c r="V1091"/>
      <c r="W1091"/>
      <c r="Z1091"/>
      <c r="AA1091"/>
      <c r="AD1091"/>
    </row>
    <row r="1092" spans="11:30" ht="18" customHeight="1">
      <c r="K1092" t="str">
        <f>IF(OR($I1092="Čaká na integráciu",$J1092="Integrácia"),"ÁNO","")</f>
        <v/>
      </c>
      <c r="L1092" t="str">
        <f>IF(OR($I1092="Čaká na biznis",$J1092="Biznis",$J1092="Švédsky biznis"),"ÁNO","")</f>
        <v/>
      </c>
      <c r="N1092" s="2"/>
      <c r="O1092" s="3"/>
      <c r="Q1092"/>
      <c r="R1092" s="3"/>
      <c r="S1092" s="3"/>
      <c r="T1092"/>
      <c r="U1092"/>
      <c r="V1092"/>
      <c r="W1092"/>
      <c r="Z1092"/>
      <c r="AA1092"/>
      <c r="AD1092"/>
    </row>
    <row r="1093" spans="11:30" ht="18" customHeight="1">
      <c r="K1093" t="str">
        <f>IF(OR($I1093="Čaká na integráciu",$J1093="Integrácia"),"ÁNO","")</f>
        <v/>
      </c>
      <c r="L1093" t="str">
        <f>IF(OR($I1093="Čaká na biznis",$J1093="Biznis",$J1093="Švédsky biznis"),"ÁNO","")</f>
        <v/>
      </c>
      <c r="N1093" s="2"/>
      <c r="O1093" s="3"/>
      <c r="Q1093"/>
      <c r="R1093" s="3"/>
      <c r="S1093" s="3"/>
      <c r="T1093"/>
      <c r="U1093"/>
      <c r="V1093"/>
      <c r="W1093"/>
      <c r="Z1093"/>
      <c r="AA1093"/>
      <c r="AD1093"/>
    </row>
    <row r="1094" spans="11:30" ht="18" customHeight="1">
      <c r="K1094" t="str">
        <f>IF(OR($I1094="Čaká na integráciu",$J1094="Integrácia"),"ÁNO","")</f>
        <v/>
      </c>
      <c r="L1094" t="str">
        <f>IF(OR($I1094="Čaká na biznis",$J1094="Biznis",$J1094="Švédsky biznis"),"ÁNO","")</f>
        <v/>
      </c>
      <c r="N1094" s="2"/>
      <c r="O1094" s="3"/>
      <c r="Q1094"/>
      <c r="R1094" s="3"/>
      <c r="S1094" s="3"/>
      <c r="T1094"/>
      <c r="U1094"/>
      <c r="V1094"/>
      <c r="W1094"/>
      <c r="Z1094"/>
      <c r="AA1094"/>
      <c r="AD1094"/>
    </row>
    <row r="1095" spans="11:30" ht="18" customHeight="1">
      <c r="K1095" t="str">
        <f>IF(OR($I1095="Čaká na integráciu",$J1095="Integrácia"),"ÁNO","")</f>
        <v/>
      </c>
      <c r="L1095" t="str">
        <f>IF(OR($I1095="Čaká na biznis",$J1095="Biznis",$J1095="Švédsky biznis"),"ÁNO","")</f>
        <v/>
      </c>
      <c r="N1095" s="2"/>
      <c r="O1095" s="3"/>
      <c r="Q1095"/>
      <c r="R1095" s="3"/>
      <c r="S1095" s="3"/>
      <c r="T1095"/>
      <c r="U1095"/>
      <c r="V1095"/>
      <c r="W1095"/>
      <c r="Z1095"/>
      <c r="AA1095"/>
      <c r="AD1095"/>
    </row>
    <row r="1096" spans="11:30" ht="18" customHeight="1">
      <c r="K1096" t="str">
        <f>IF(OR($I1096="Čaká na integráciu",$J1096="Integrácia"),"ÁNO","")</f>
        <v/>
      </c>
      <c r="L1096" t="str">
        <f>IF(OR($I1096="Čaká na biznis",$J1096="Biznis",$J1096="Švédsky biznis"),"ÁNO","")</f>
        <v/>
      </c>
      <c r="N1096" s="2"/>
      <c r="O1096" s="3"/>
      <c r="Q1096"/>
      <c r="R1096" s="3"/>
      <c r="S1096" s="3"/>
      <c r="T1096"/>
      <c r="U1096"/>
      <c r="V1096"/>
      <c r="W1096"/>
      <c r="Z1096"/>
      <c r="AA1096"/>
      <c r="AD1096"/>
    </row>
    <row r="1097" spans="11:30" ht="18" customHeight="1">
      <c r="K1097" t="str">
        <f>IF(OR($I1097="Čaká na integráciu",$J1097="Integrácia"),"ÁNO","")</f>
        <v/>
      </c>
      <c r="L1097" t="str">
        <f>IF(OR($I1097="Čaká na biznis",$J1097="Biznis",$J1097="Švédsky biznis"),"ÁNO","")</f>
        <v/>
      </c>
      <c r="N1097" s="2"/>
      <c r="O1097" s="3"/>
      <c r="Q1097"/>
      <c r="R1097" s="3"/>
      <c r="S1097" s="3"/>
      <c r="T1097"/>
      <c r="U1097"/>
      <c r="V1097"/>
      <c r="W1097"/>
      <c r="Z1097"/>
      <c r="AA1097"/>
      <c r="AD1097"/>
    </row>
    <row r="1098" spans="11:30" ht="18" customHeight="1">
      <c r="K1098" t="str">
        <f>IF(OR($I1098="Čaká na integráciu",$J1098="Integrácia"),"ÁNO","")</f>
        <v/>
      </c>
      <c r="L1098" t="str">
        <f>IF(OR($I1098="Čaká na biznis",$J1098="Biznis",$J1098="Švédsky biznis"),"ÁNO","")</f>
        <v/>
      </c>
      <c r="N1098" s="2"/>
      <c r="O1098" s="3"/>
      <c r="Q1098"/>
      <c r="R1098" s="3"/>
      <c r="S1098" s="3"/>
      <c r="T1098"/>
      <c r="U1098"/>
      <c r="V1098"/>
      <c r="W1098"/>
      <c r="Z1098"/>
      <c r="AA1098"/>
      <c r="AD1098"/>
    </row>
    <row r="1099" spans="11:30" ht="18" customHeight="1">
      <c r="K1099" t="str">
        <f>IF(OR($I1099="Čaká na integráciu",$J1099="Integrácia"),"ÁNO","")</f>
        <v/>
      </c>
      <c r="L1099" t="str">
        <f>IF(OR($I1099="Čaká na biznis",$J1099="Biznis",$J1099="Švédsky biznis"),"ÁNO","")</f>
        <v/>
      </c>
      <c r="N1099" s="2"/>
      <c r="O1099" s="3"/>
      <c r="Q1099"/>
      <c r="R1099" s="3"/>
      <c r="S1099" s="3"/>
      <c r="T1099"/>
      <c r="U1099"/>
      <c r="V1099"/>
      <c r="W1099"/>
      <c r="Z1099"/>
      <c r="AA1099"/>
      <c r="AD1099"/>
    </row>
    <row r="1100" spans="11:30" ht="18" customHeight="1">
      <c r="K1100" t="str">
        <f>IF(OR($I1100="Čaká na integráciu",$J1100="Integrácia"),"ÁNO","")</f>
        <v/>
      </c>
      <c r="L1100" t="str">
        <f>IF(OR($I1100="Čaká na biznis",$J1100="Biznis",$J1100="Švédsky biznis"),"ÁNO","")</f>
        <v/>
      </c>
      <c r="N1100" s="2"/>
      <c r="O1100" s="3"/>
      <c r="Q1100"/>
      <c r="R1100" s="3"/>
      <c r="S1100" s="3"/>
      <c r="T1100"/>
      <c r="U1100"/>
      <c r="V1100"/>
      <c r="W1100"/>
      <c r="Z1100"/>
      <c r="AA1100"/>
      <c r="AD1100"/>
    </row>
    <row r="1101" spans="11:30" ht="18" customHeight="1">
      <c r="K1101" t="str">
        <f>IF(OR($I1101="Čaká na integráciu",$J1101="Integrácia"),"ÁNO","")</f>
        <v/>
      </c>
      <c r="L1101" t="str">
        <f>IF(OR($I1101="Čaká na biznis",$J1101="Biznis",$J1101="Švédsky biznis"),"ÁNO","")</f>
        <v/>
      </c>
      <c r="N1101" s="2"/>
      <c r="O1101" s="3"/>
      <c r="Q1101"/>
      <c r="R1101" s="3"/>
      <c r="S1101" s="3"/>
      <c r="T1101"/>
      <c r="U1101"/>
      <c r="V1101"/>
      <c r="W1101"/>
      <c r="Z1101"/>
      <c r="AA1101"/>
      <c r="AD1101"/>
    </row>
    <row r="1102" spans="11:30" ht="18" customHeight="1">
      <c r="K1102" t="str">
        <f>IF(OR($I1102="Čaká na integráciu",$J1102="Integrácia"),"ÁNO","")</f>
        <v/>
      </c>
      <c r="L1102" t="str">
        <f>IF(OR($I1102="Čaká na biznis",$J1102="Biznis",$J1102="Švédsky biznis"),"ÁNO","")</f>
        <v/>
      </c>
      <c r="N1102" s="2"/>
      <c r="O1102" s="3"/>
      <c r="Q1102"/>
      <c r="R1102" s="3"/>
      <c r="S1102" s="3"/>
      <c r="T1102"/>
      <c r="U1102"/>
      <c r="V1102"/>
      <c r="W1102"/>
      <c r="Z1102"/>
      <c r="AA1102"/>
      <c r="AD1102"/>
    </row>
    <row r="1103" spans="11:30" ht="18" customHeight="1">
      <c r="K1103" t="str">
        <f>IF(OR($I1103="Čaká na integráciu",$J1103="Integrácia"),"ÁNO","")</f>
        <v/>
      </c>
      <c r="L1103" t="str">
        <f>IF(OR($I1103="Čaká na biznis",$J1103="Biznis",$J1103="Švédsky biznis"),"ÁNO","")</f>
        <v/>
      </c>
      <c r="N1103" s="2"/>
      <c r="O1103" s="3"/>
      <c r="Q1103"/>
      <c r="R1103" s="3"/>
      <c r="S1103" s="3"/>
      <c r="T1103"/>
      <c r="U1103"/>
      <c r="V1103"/>
      <c r="W1103"/>
      <c r="Z1103"/>
      <c r="AA1103"/>
      <c r="AD1103"/>
    </row>
    <row r="1104" spans="11:30" ht="18" customHeight="1">
      <c r="K1104" t="str">
        <f>IF(OR($I1104="Čaká na integráciu",$J1104="Integrácia"),"ÁNO","")</f>
        <v/>
      </c>
      <c r="L1104" t="str">
        <f>IF(OR($I1104="Čaká na biznis",$J1104="Biznis",$J1104="Švédsky biznis"),"ÁNO","")</f>
        <v/>
      </c>
      <c r="N1104" s="2"/>
      <c r="O1104" s="3"/>
      <c r="Q1104"/>
      <c r="R1104" s="3"/>
      <c r="S1104" s="3"/>
      <c r="T1104"/>
      <c r="U1104"/>
      <c r="V1104"/>
      <c r="W1104"/>
      <c r="Z1104"/>
      <c r="AA1104"/>
      <c r="AD1104"/>
    </row>
    <row r="1105" spans="11:30" ht="18" customHeight="1">
      <c r="K1105" t="str">
        <f>IF(OR($I1105="Čaká na integráciu",$J1105="Integrácia"),"ÁNO","")</f>
        <v/>
      </c>
      <c r="L1105" t="str">
        <f>IF(OR($I1105="Čaká na biznis",$J1105="Biznis",$J1105="Švédsky biznis"),"ÁNO","")</f>
        <v/>
      </c>
      <c r="N1105" s="2"/>
      <c r="O1105" s="3"/>
      <c r="Q1105"/>
      <c r="R1105" s="3"/>
      <c r="S1105" s="3"/>
      <c r="T1105"/>
      <c r="U1105"/>
      <c r="V1105"/>
      <c r="W1105"/>
      <c r="Z1105"/>
      <c r="AA1105"/>
      <c r="AD1105"/>
    </row>
    <row r="1106" spans="11:30" ht="18" customHeight="1">
      <c r="K1106" t="str">
        <f>IF(OR($I1106="Čaká na integráciu",$J1106="Integrácia"),"ÁNO","")</f>
        <v/>
      </c>
      <c r="L1106" t="str">
        <f>IF(OR($I1106="Čaká na biznis",$J1106="Biznis",$J1106="Švédsky biznis"),"ÁNO","")</f>
        <v/>
      </c>
      <c r="N1106" s="2"/>
      <c r="O1106" s="3"/>
      <c r="Q1106"/>
      <c r="R1106" s="3"/>
      <c r="S1106" s="3"/>
      <c r="T1106"/>
      <c r="U1106"/>
      <c r="V1106"/>
      <c r="W1106"/>
      <c r="Z1106"/>
      <c r="AA1106"/>
      <c r="AD1106"/>
    </row>
    <row r="1107" spans="11:30" ht="18" customHeight="1">
      <c r="K1107" t="str">
        <f>IF(OR($I1107="Čaká na integráciu",$J1107="Integrácia"),"ÁNO","")</f>
        <v/>
      </c>
      <c r="L1107" t="str">
        <f>IF(OR($I1107="Čaká na biznis",$J1107="Biznis",$J1107="Švédsky biznis"),"ÁNO","")</f>
        <v/>
      </c>
      <c r="N1107" s="2"/>
      <c r="O1107" s="3"/>
      <c r="Q1107"/>
      <c r="R1107" s="3"/>
      <c r="S1107" s="3"/>
      <c r="T1107"/>
      <c r="U1107"/>
      <c r="V1107"/>
      <c r="W1107"/>
      <c r="Z1107"/>
      <c r="AA1107"/>
      <c r="AD1107"/>
    </row>
    <row r="1108" spans="11:30" ht="18" customHeight="1">
      <c r="K1108" t="str">
        <f>IF(OR($I1108="Čaká na integráciu",$J1108="Integrácia"),"ÁNO","")</f>
        <v/>
      </c>
      <c r="L1108" t="str">
        <f>IF(OR($I1108="Čaká na biznis",$J1108="Biznis",$J1108="Švédsky biznis"),"ÁNO","")</f>
        <v/>
      </c>
      <c r="N1108" s="2"/>
      <c r="O1108" s="3"/>
      <c r="Q1108"/>
      <c r="R1108" s="3"/>
      <c r="S1108" s="3"/>
      <c r="T1108"/>
      <c r="U1108"/>
      <c r="V1108"/>
      <c r="W1108"/>
      <c r="Z1108"/>
      <c r="AA1108"/>
      <c r="AD1108"/>
    </row>
    <row r="1109" spans="11:30" ht="18" customHeight="1">
      <c r="K1109" t="str">
        <f>IF(OR($I1109="Čaká na integráciu",$J1109="Integrácia"),"ÁNO","")</f>
        <v/>
      </c>
      <c r="L1109" t="str">
        <f>IF(OR($I1109="Čaká na biznis",$J1109="Biznis",$J1109="Švédsky biznis"),"ÁNO","")</f>
        <v/>
      </c>
      <c r="N1109" s="2"/>
      <c r="O1109" s="3"/>
      <c r="Q1109"/>
      <c r="R1109" s="3"/>
      <c r="S1109" s="3"/>
      <c r="T1109"/>
      <c r="U1109"/>
      <c r="V1109"/>
      <c r="W1109"/>
      <c r="Z1109"/>
      <c r="AA1109"/>
      <c r="AD1109"/>
    </row>
    <row r="1110" spans="11:30" ht="18" customHeight="1">
      <c r="K1110" t="str">
        <f>IF(OR($I1110="Čaká na integráciu",$J1110="Integrácia"),"ÁNO","")</f>
        <v/>
      </c>
      <c r="L1110" t="str">
        <f>IF(OR($I1110="Čaká na biznis",$J1110="Biznis",$J1110="Švédsky biznis"),"ÁNO","")</f>
        <v/>
      </c>
      <c r="N1110" s="2"/>
      <c r="O1110" s="3"/>
      <c r="Q1110"/>
      <c r="R1110" s="3"/>
      <c r="S1110" s="3"/>
      <c r="T1110"/>
      <c r="U1110"/>
      <c r="V1110"/>
      <c r="W1110"/>
      <c r="Z1110"/>
      <c r="AA1110"/>
      <c r="AD1110"/>
    </row>
    <row r="1111" spans="11:30" ht="18" customHeight="1">
      <c r="K1111" t="str">
        <f>IF(OR($I1111="Čaká na integráciu",$J1111="Integrácia"),"ÁNO","")</f>
        <v/>
      </c>
      <c r="L1111" t="str">
        <f>IF(OR($I1111="Čaká na biznis",$J1111="Biznis",$J1111="Švédsky biznis"),"ÁNO","")</f>
        <v/>
      </c>
      <c r="N1111" s="2"/>
      <c r="O1111" s="3"/>
      <c r="Q1111"/>
      <c r="R1111" s="3"/>
      <c r="S1111" s="3"/>
      <c r="T1111"/>
      <c r="U1111"/>
      <c r="V1111"/>
      <c r="W1111"/>
      <c r="Z1111"/>
      <c r="AA1111"/>
      <c r="AD1111"/>
    </row>
    <row r="1112" spans="11:30" ht="18" customHeight="1">
      <c r="K1112" t="str">
        <f>IF(OR($I1112="Čaká na integráciu",$J1112="Integrácia"),"ÁNO","")</f>
        <v/>
      </c>
      <c r="L1112" t="str">
        <f>IF(OR($I1112="Čaká na biznis",$J1112="Biznis",$J1112="Švédsky biznis"),"ÁNO","")</f>
        <v/>
      </c>
      <c r="N1112" s="2"/>
      <c r="O1112" s="3"/>
      <c r="Q1112"/>
      <c r="R1112" s="3"/>
      <c r="S1112" s="3"/>
      <c r="T1112"/>
      <c r="U1112"/>
      <c r="V1112"/>
      <c r="W1112"/>
      <c r="Z1112"/>
      <c r="AA1112"/>
      <c r="AD1112"/>
    </row>
    <row r="1113" spans="11:30" ht="18" customHeight="1">
      <c r="K1113" t="str">
        <f>IF(OR($I1113="Čaká na integráciu",$J1113="Integrácia"),"ÁNO","")</f>
        <v/>
      </c>
      <c r="L1113" t="str">
        <f>IF(OR($I1113="Čaká na biznis",$J1113="Biznis",$J1113="Švédsky biznis"),"ÁNO","")</f>
        <v/>
      </c>
      <c r="N1113" s="2"/>
      <c r="O1113" s="3"/>
      <c r="Q1113"/>
      <c r="R1113" s="3"/>
      <c r="S1113" s="3"/>
      <c r="T1113"/>
      <c r="U1113"/>
      <c r="V1113"/>
      <c r="W1113"/>
      <c r="Z1113"/>
      <c r="AA1113"/>
      <c r="AD1113"/>
    </row>
    <row r="1114" spans="11:30" ht="18" customHeight="1">
      <c r="K1114" t="str">
        <f>IF(OR($I1114="Čaká na integráciu",$J1114="Integrácia"),"ÁNO","")</f>
        <v/>
      </c>
      <c r="L1114" t="str">
        <f>IF(OR($I1114="Čaká na biznis",$J1114="Biznis",$J1114="Švédsky biznis"),"ÁNO","")</f>
        <v/>
      </c>
      <c r="N1114" s="2"/>
      <c r="O1114" s="3"/>
      <c r="Q1114"/>
      <c r="R1114" s="3"/>
      <c r="S1114" s="3"/>
      <c r="T1114"/>
      <c r="U1114"/>
      <c r="V1114"/>
      <c r="W1114"/>
      <c r="Z1114"/>
      <c r="AA1114"/>
      <c r="AD1114"/>
    </row>
    <row r="1115" spans="11:30" ht="18" customHeight="1">
      <c r="K1115" t="str">
        <f>IF(OR($I1115="Čaká na integráciu",$J1115="Integrácia"),"ÁNO","")</f>
        <v/>
      </c>
      <c r="L1115" t="str">
        <f>IF(OR($I1115="Čaká na biznis",$J1115="Biznis",$J1115="Švédsky biznis"),"ÁNO","")</f>
        <v/>
      </c>
      <c r="N1115" s="2"/>
      <c r="O1115" s="3"/>
      <c r="Q1115"/>
      <c r="R1115" s="3"/>
      <c r="S1115" s="3"/>
      <c r="T1115"/>
      <c r="U1115"/>
      <c r="V1115"/>
      <c r="W1115"/>
      <c r="Z1115"/>
      <c r="AA1115"/>
      <c r="AD1115"/>
    </row>
    <row r="1116" spans="11:30" ht="18" customHeight="1">
      <c r="K1116" t="str">
        <f>IF(OR($I1116="Čaká na integráciu",$J1116="Integrácia"),"ÁNO","")</f>
        <v/>
      </c>
      <c r="L1116" t="str">
        <f>IF(OR($I1116="Čaká na biznis",$J1116="Biznis",$J1116="Švédsky biznis"),"ÁNO","")</f>
        <v/>
      </c>
      <c r="N1116" s="2"/>
      <c r="O1116" s="3"/>
      <c r="Q1116"/>
      <c r="R1116" s="3"/>
      <c r="S1116" s="3"/>
      <c r="T1116"/>
      <c r="U1116"/>
      <c r="V1116"/>
      <c r="W1116"/>
      <c r="Z1116"/>
      <c r="AA1116"/>
      <c r="AD1116"/>
    </row>
    <row r="1117" spans="11:30" ht="18" customHeight="1">
      <c r="K1117" t="str">
        <f>IF(OR($I1117="Čaká na integráciu",$J1117="Integrácia"),"ÁNO","")</f>
        <v/>
      </c>
      <c r="L1117" t="str">
        <f>IF(OR($I1117="Čaká na biznis",$J1117="Biznis",$J1117="Švédsky biznis"),"ÁNO","")</f>
        <v/>
      </c>
      <c r="N1117" s="2"/>
      <c r="O1117" s="3"/>
      <c r="Q1117"/>
      <c r="R1117" s="3"/>
      <c r="S1117" s="3"/>
      <c r="T1117"/>
      <c r="U1117"/>
      <c r="V1117"/>
      <c r="W1117"/>
      <c r="Z1117"/>
      <c r="AA1117"/>
      <c r="AD1117"/>
    </row>
    <row r="1118" spans="11:30" ht="18" customHeight="1">
      <c r="K1118" t="str">
        <f>IF(OR($I1118="Čaká na integráciu",$J1118="Integrácia"),"ÁNO","")</f>
        <v/>
      </c>
      <c r="L1118" t="str">
        <f>IF(OR($I1118="Čaká na biznis",$J1118="Biznis",$J1118="Švédsky biznis"),"ÁNO","")</f>
        <v/>
      </c>
      <c r="N1118" s="2"/>
      <c r="O1118" s="3"/>
      <c r="Q1118"/>
      <c r="R1118" s="3"/>
      <c r="S1118" s="3"/>
      <c r="T1118"/>
      <c r="U1118"/>
      <c r="V1118"/>
      <c r="W1118"/>
      <c r="Z1118"/>
      <c r="AA1118"/>
      <c r="AD1118"/>
    </row>
    <row r="1119" spans="11:30" ht="18" customHeight="1">
      <c r="K1119" t="str">
        <f>IF(OR($I1119="Čaká na integráciu",$J1119="Integrácia"),"ÁNO","")</f>
        <v/>
      </c>
      <c r="L1119" t="str">
        <f>IF(OR($I1119="Čaká na biznis",$J1119="Biznis",$J1119="Švédsky biznis"),"ÁNO","")</f>
        <v/>
      </c>
      <c r="N1119" s="2"/>
      <c r="O1119" s="3"/>
      <c r="Q1119"/>
      <c r="R1119" s="3"/>
      <c r="S1119" s="3"/>
      <c r="T1119"/>
      <c r="U1119"/>
      <c r="V1119"/>
      <c r="W1119"/>
      <c r="Z1119"/>
      <c r="AA1119"/>
      <c r="AD1119"/>
    </row>
    <row r="1120" spans="11:30" ht="18" customHeight="1">
      <c r="K1120" t="str">
        <f>IF(OR($I1120="Čaká na integráciu",$J1120="Integrácia"),"ÁNO","")</f>
        <v/>
      </c>
      <c r="L1120" t="str">
        <f>IF(OR($I1120="Čaká na biznis",$J1120="Biznis",$J1120="Švédsky biznis"),"ÁNO","")</f>
        <v/>
      </c>
      <c r="N1120" s="2"/>
      <c r="O1120" s="3"/>
      <c r="Q1120"/>
      <c r="R1120" s="3"/>
      <c r="S1120" s="3"/>
      <c r="T1120"/>
      <c r="U1120"/>
      <c r="V1120"/>
      <c r="W1120"/>
      <c r="Z1120"/>
      <c r="AA1120"/>
      <c r="AD1120"/>
    </row>
    <row r="1121" spans="11:30" ht="18" customHeight="1">
      <c r="K1121" t="str">
        <f>IF(OR($I1121="Čaká na integráciu",$J1121="Integrácia"),"ÁNO","")</f>
        <v/>
      </c>
      <c r="L1121" t="str">
        <f>IF(OR($I1121="Čaká na biznis",$J1121="Biznis",$J1121="Švédsky biznis"),"ÁNO","")</f>
        <v/>
      </c>
      <c r="N1121" s="2"/>
      <c r="O1121" s="3"/>
      <c r="Q1121"/>
      <c r="R1121" s="3"/>
      <c r="S1121" s="3"/>
      <c r="T1121"/>
      <c r="U1121"/>
      <c r="V1121"/>
      <c r="W1121"/>
      <c r="Z1121"/>
      <c r="AA1121"/>
      <c r="AD1121"/>
    </row>
    <row r="1122" spans="11:30" ht="18" customHeight="1">
      <c r="K1122" t="str">
        <f>IF(OR($I1122="Čaká na integráciu",$J1122="Integrácia"),"ÁNO","")</f>
        <v/>
      </c>
      <c r="L1122" t="str">
        <f>IF(OR($I1122="Čaká na biznis",$J1122="Biznis",$J1122="Švédsky biznis"),"ÁNO","")</f>
        <v/>
      </c>
      <c r="N1122" s="2"/>
      <c r="O1122" s="3"/>
      <c r="Q1122"/>
      <c r="R1122" s="3"/>
      <c r="S1122" s="3"/>
      <c r="T1122"/>
      <c r="U1122"/>
      <c r="V1122"/>
      <c r="W1122"/>
      <c r="Z1122"/>
      <c r="AA1122"/>
      <c r="AD1122"/>
    </row>
    <row r="1123" spans="11:30" ht="18" customHeight="1">
      <c r="K1123" t="str">
        <f>IF(OR($I1123="Čaká na integráciu",$J1123="Integrácia"),"ÁNO","")</f>
        <v/>
      </c>
      <c r="L1123" t="str">
        <f>IF(OR($I1123="Čaká na biznis",$J1123="Biznis",$J1123="Švédsky biznis"),"ÁNO","")</f>
        <v/>
      </c>
      <c r="N1123" s="2"/>
      <c r="O1123" s="3"/>
      <c r="Q1123"/>
      <c r="R1123" s="3"/>
      <c r="S1123" s="3"/>
      <c r="T1123"/>
      <c r="U1123"/>
      <c r="V1123"/>
      <c r="W1123"/>
      <c r="Z1123"/>
      <c r="AA1123"/>
      <c r="AD1123"/>
    </row>
    <row r="1124" spans="11:30" ht="18" customHeight="1">
      <c r="K1124" t="str">
        <f>IF(OR($I1124="Čaká na integráciu",$J1124="Integrácia"),"ÁNO","")</f>
        <v/>
      </c>
      <c r="L1124" t="str">
        <f>IF(OR($I1124="Čaká na biznis",$J1124="Biznis",$J1124="Švédsky biznis"),"ÁNO","")</f>
        <v/>
      </c>
      <c r="N1124" s="2"/>
      <c r="O1124" s="3"/>
      <c r="Q1124"/>
      <c r="R1124" s="3"/>
      <c r="S1124" s="3"/>
      <c r="T1124"/>
      <c r="U1124"/>
      <c r="V1124"/>
      <c r="W1124"/>
      <c r="Z1124"/>
      <c r="AA1124"/>
      <c r="AD1124"/>
    </row>
    <row r="1125" spans="11:30" ht="18" customHeight="1">
      <c r="K1125" t="str">
        <f>IF(OR($I1125="Čaká na integráciu",$J1125="Integrácia"),"ÁNO","")</f>
        <v/>
      </c>
      <c r="L1125" t="str">
        <f>IF(OR($I1125="Čaká na biznis",$J1125="Biznis",$J1125="Švédsky biznis"),"ÁNO","")</f>
        <v/>
      </c>
      <c r="N1125" s="2"/>
      <c r="O1125" s="3"/>
      <c r="Q1125"/>
      <c r="R1125" s="3"/>
      <c r="S1125" s="3"/>
      <c r="T1125"/>
      <c r="U1125"/>
      <c r="V1125"/>
      <c r="W1125"/>
      <c r="Z1125"/>
      <c r="AA1125"/>
      <c r="AD1125"/>
    </row>
    <row r="1126" spans="11:30" ht="18" customHeight="1">
      <c r="K1126" t="str">
        <f>IF(OR($I1126="Čaká na integráciu",$J1126="Integrácia"),"ÁNO","")</f>
        <v/>
      </c>
      <c r="L1126" t="str">
        <f>IF(OR($I1126="Čaká na biznis",$J1126="Biznis",$J1126="Švédsky biznis"),"ÁNO","")</f>
        <v/>
      </c>
      <c r="N1126" s="2"/>
      <c r="O1126" s="3"/>
      <c r="Q1126"/>
      <c r="R1126" s="3"/>
      <c r="S1126" s="3"/>
      <c r="T1126"/>
      <c r="U1126"/>
      <c r="V1126"/>
      <c r="W1126"/>
      <c r="Z1126"/>
      <c r="AA1126"/>
      <c r="AD1126"/>
    </row>
    <row r="1127" spans="11:30" ht="18" customHeight="1">
      <c r="K1127" t="str">
        <f>IF(OR($I1127="Čaká na integráciu",$J1127="Integrácia"),"ÁNO","")</f>
        <v/>
      </c>
      <c r="L1127" t="str">
        <f>IF(OR($I1127="Čaká na biznis",$J1127="Biznis",$J1127="Švédsky biznis"),"ÁNO","")</f>
        <v/>
      </c>
      <c r="N1127" s="2"/>
      <c r="O1127" s="3"/>
      <c r="Q1127"/>
      <c r="R1127" s="3"/>
      <c r="S1127" s="3"/>
      <c r="T1127"/>
      <c r="U1127"/>
      <c r="V1127"/>
      <c r="W1127"/>
      <c r="Z1127"/>
      <c r="AA1127"/>
      <c r="AD1127"/>
    </row>
    <row r="1128" spans="11:30" ht="18" customHeight="1">
      <c r="K1128" t="str">
        <f>IF(OR($I1128="Čaká na integráciu",$J1128="Integrácia"),"ÁNO","")</f>
        <v/>
      </c>
      <c r="L1128" t="str">
        <f>IF(OR($I1128="Čaká na biznis",$J1128="Biznis",$J1128="Švédsky biznis"),"ÁNO","")</f>
        <v/>
      </c>
      <c r="N1128" s="2"/>
      <c r="O1128" s="3"/>
      <c r="Q1128"/>
      <c r="R1128" s="3"/>
      <c r="S1128" s="3"/>
      <c r="T1128"/>
      <c r="U1128"/>
      <c r="V1128"/>
      <c r="W1128"/>
      <c r="Z1128"/>
      <c r="AA1128"/>
      <c r="AD1128"/>
    </row>
    <row r="1129" spans="11:30" ht="18" customHeight="1">
      <c r="K1129" t="str">
        <f>IF(OR($I1129="Čaká na integráciu",$J1129="Integrácia"),"ÁNO","")</f>
        <v/>
      </c>
      <c r="L1129" t="str">
        <f>IF(OR($I1129="Čaká na biznis",$J1129="Biznis",$J1129="Švédsky biznis"),"ÁNO","")</f>
        <v/>
      </c>
      <c r="N1129" s="2"/>
      <c r="O1129" s="3"/>
      <c r="Q1129"/>
      <c r="R1129" s="3"/>
      <c r="S1129" s="3"/>
      <c r="T1129"/>
      <c r="U1129"/>
      <c r="V1129"/>
      <c r="W1129"/>
      <c r="Z1129"/>
      <c r="AA1129"/>
      <c r="AD1129"/>
    </row>
    <row r="1130" spans="11:30" ht="18" customHeight="1">
      <c r="K1130" t="str">
        <f>IF(OR($I1130="Čaká na integráciu",$J1130="Integrácia"),"ÁNO","")</f>
        <v/>
      </c>
      <c r="L1130" t="str">
        <f>IF(OR($I1130="Čaká na biznis",$J1130="Biznis",$J1130="Švédsky biznis"),"ÁNO","")</f>
        <v/>
      </c>
      <c r="N1130" s="2"/>
      <c r="O1130" s="3"/>
      <c r="Q1130"/>
      <c r="R1130" s="3"/>
      <c r="S1130" s="3"/>
      <c r="T1130"/>
      <c r="U1130"/>
      <c r="V1130"/>
      <c r="W1130"/>
      <c r="Z1130"/>
      <c r="AA1130"/>
      <c r="AD1130"/>
    </row>
    <row r="1131" spans="11:30" ht="18" customHeight="1">
      <c r="K1131" t="str">
        <f>IF(OR($I1131="Čaká na integráciu",$J1131="Integrácia"),"ÁNO","")</f>
        <v/>
      </c>
      <c r="L1131" t="str">
        <f>IF(OR($I1131="Čaká na biznis",$J1131="Biznis",$J1131="Švédsky biznis"),"ÁNO","")</f>
        <v/>
      </c>
      <c r="N1131" s="2"/>
      <c r="O1131" s="3"/>
      <c r="Q1131"/>
      <c r="R1131" s="3"/>
      <c r="S1131" s="3"/>
      <c r="T1131"/>
      <c r="U1131"/>
      <c r="V1131"/>
      <c r="W1131"/>
      <c r="Z1131"/>
      <c r="AA1131"/>
      <c r="AD1131"/>
    </row>
    <row r="1132" spans="11:30" ht="18" customHeight="1">
      <c r="K1132" t="str">
        <f>IF(OR($I1132="Čaká na integráciu",$J1132="Integrácia"),"ÁNO","")</f>
        <v/>
      </c>
      <c r="L1132" t="str">
        <f>IF(OR($I1132="Čaká na biznis",$J1132="Biznis",$J1132="Švédsky biznis"),"ÁNO","")</f>
        <v/>
      </c>
      <c r="N1132" s="2"/>
      <c r="O1132" s="3"/>
      <c r="Q1132"/>
      <c r="R1132" s="3"/>
      <c r="S1132" s="3"/>
      <c r="T1132"/>
      <c r="U1132"/>
      <c r="V1132"/>
      <c r="W1132"/>
      <c r="Z1132"/>
      <c r="AA1132"/>
      <c r="AD1132"/>
    </row>
    <row r="1133" spans="11:30" ht="18" customHeight="1">
      <c r="K1133" t="str">
        <f>IF(OR($I1133="Čaká na integráciu",$J1133="Integrácia"),"ÁNO","")</f>
        <v/>
      </c>
      <c r="L1133" t="str">
        <f>IF(OR($I1133="Čaká na biznis",$J1133="Biznis",$J1133="Švédsky biznis"),"ÁNO","")</f>
        <v/>
      </c>
      <c r="N1133" s="2"/>
      <c r="O1133" s="3"/>
      <c r="Q1133"/>
      <c r="R1133" s="3"/>
      <c r="S1133" s="3"/>
      <c r="T1133"/>
      <c r="U1133"/>
      <c r="V1133"/>
      <c r="W1133"/>
      <c r="Z1133"/>
      <c r="AA1133"/>
      <c r="AD1133"/>
    </row>
    <row r="1134" spans="11:30" ht="18" customHeight="1">
      <c r="K1134" t="str">
        <f>IF(OR($I1134="Čaká na integráciu",$J1134="Integrácia"),"ÁNO","")</f>
        <v/>
      </c>
      <c r="L1134" t="str">
        <f>IF(OR($I1134="Čaká na biznis",$J1134="Biznis",$J1134="Švédsky biznis"),"ÁNO","")</f>
        <v/>
      </c>
      <c r="N1134" s="2"/>
      <c r="O1134" s="3"/>
      <c r="Q1134"/>
      <c r="R1134" s="3"/>
      <c r="S1134" s="3"/>
      <c r="T1134"/>
      <c r="U1134"/>
      <c r="V1134"/>
      <c r="W1134"/>
      <c r="Z1134"/>
      <c r="AA1134"/>
      <c r="AD1134"/>
    </row>
    <row r="1135" spans="11:30" ht="18" customHeight="1">
      <c r="K1135" t="str">
        <f>IF(OR($I1135="Čaká na integráciu",$J1135="Integrácia"),"ÁNO","")</f>
        <v/>
      </c>
      <c r="L1135" t="str">
        <f>IF(OR($I1135="Čaká na biznis",$J1135="Biznis",$J1135="Švédsky biznis"),"ÁNO","")</f>
        <v/>
      </c>
      <c r="N1135" s="2"/>
      <c r="O1135" s="3"/>
      <c r="Q1135"/>
      <c r="R1135" s="3"/>
      <c r="S1135" s="3"/>
      <c r="T1135"/>
      <c r="U1135"/>
      <c r="V1135"/>
      <c r="W1135"/>
      <c r="Z1135"/>
      <c r="AA1135"/>
      <c r="AD1135"/>
    </row>
    <row r="1136" spans="11:30" ht="18" customHeight="1">
      <c r="K1136" t="str">
        <f>IF(OR($I1136="Čaká na integráciu",$J1136="Integrácia"),"ÁNO","")</f>
        <v/>
      </c>
      <c r="L1136" t="str">
        <f>IF(OR($I1136="Čaká na biznis",$J1136="Biznis",$J1136="Švédsky biznis"),"ÁNO","")</f>
        <v/>
      </c>
      <c r="N1136" s="2"/>
      <c r="O1136" s="3"/>
      <c r="Q1136"/>
      <c r="R1136" s="3"/>
      <c r="S1136" s="3"/>
      <c r="T1136"/>
      <c r="U1136"/>
      <c r="V1136"/>
      <c r="W1136"/>
      <c r="Z1136"/>
      <c r="AA1136"/>
      <c r="AD1136"/>
    </row>
    <row r="1137" spans="11:30" ht="18" customHeight="1">
      <c r="K1137" t="str">
        <f>IF(OR($I1137="Čaká na integráciu",$J1137="Integrácia"),"ÁNO","")</f>
        <v/>
      </c>
      <c r="L1137" t="str">
        <f>IF(OR($I1137="Čaká na biznis",$J1137="Biznis",$J1137="Švédsky biznis"),"ÁNO","")</f>
        <v/>
      </c>
      <c r="N1137" s="2"/>
      <c r="O1137" s="3"/>
      <c r="Q1137"/>
      <c r="R1137" s="3"/>
      <c r="S1137" s="3"/>
      <c r="T1137"/>
      <c r="U1137"/>
      <c r="V1137"/>
      <c r="W1137"/>
      <c r="Z1137"/>
      <c r="AA1137"/>
      <c r="AD1137"/>
    </row>
    <row r="1138" spans="11:30" ht="18" customHeight="1">
      <c r="K1138" t="str">
        <f>IF(OR($I1138="Čaká na integráciu",$J1138="Integrácia"),"ÁNO","")</f>
        <v/>
      </c>
      <c r="L1138" t="str">
        <f>IF(OR($I1138="Čaká na biznis",$J1138="Biznis",$J1138="Švédsky biznis"),"ÁNO","")</f>
        <v/>
      </c>
      <c r="N1138" s="2"/>
      <c r="O1138" s="3"/>
      <c r="Q1138"/>
      <c r="R1138" s="3"/>
      <c r="S1138" s="3"/>
      <c r="T1138"/>
      <c r="U1138"/>
      <c r="V1138"/>
      <c r="W1138"/>
      <c r="Z1138"/>
      <c r="AA1138"/>
      <c r="AD1138"/>
    </row>
    <row r="1139" spans="11:30" ht="18" customHeight="1">
      <c r="K1139" t="str">
        <f>IF(OR($I1139="Čaká na integráciu",$J1139="Integrácia"),"ÁNO","")</f>
        <v/>
      </c>
      <c r="L1139" t="str">
        <f>IF(OR($I1139="Čaká na biznis",$J1139="Biznis",$J1139="Švédsky biznis"),"ÁNO","")</f>
        <v/>
      </c>
      <c r="N1139" s="2"/>
      <c r="O1139" s="3"/>
      <c r="Q1139"/>
      <c r="R1139" s="3"/>
      <c r="S1139" s="3"/>
      <c r="T1139"/>
      <c r="U1139"/>
      <c r="V1139"/>
      <c r="W1139"/>
      <c r="Z1139"/>
      <c r="AA1139"/>
      <c r="AD1139"/>
    </row>
    <row r="1140" spans="11:30" ht="18" customHeight="1">
      <c r="K1140" t="str">
        <f>IF(OR($I1140="Čaká na integráciu",$J1140="Integrácia"),"ÁNO","")</f>
        <v/>
      </c>
      <c r="L1140" t="str">
        <f>IF(OR($I1140="Čaká na biznis",$J1140="Biznis",$J1140="Švédsky biznis"),"ÁNO","")</f>
        <v/>
      </c>
      <c r="N1140" s="2"/>
      <c r="O1140" s="3"/>
      <c r="Q1140"/>
      <c r="R1140" s="3"/>
      <c r="S1140" s="3"/>
      <c r="T1140"/>
      <c r="U1140"/>
      <c r="V1140"/>
      <c r="W1140"/>
      <c r="Z1140"/>
      <c r="AA1140"/>
      <c r="AD1140"/>
    </row>
    <row r="1141" spans="11:30" ht="18" customHeight="1">
      <c r="K1141" t="str">
        <f>IF(OR($I1141="Čaká na integráciu",$J1141="Integrácia"),"ÁNO","")</f>
        <v/>
      </c>
      <c r="L1141" t="str">
        <f>IF(OR($I1141="Čaká na biznis",$J1141="Biznis",$J1141="Švédsky biznis"),"ÁNO","")</f>
        <v/>
      </c>
      <c r="N1141" s="2"/>
      <c r="O1141" s="3"/>
      <c r="Q1141"/>
      <c r="R1141" s="3"/>
      <c r="S1141" s="3"/>
      <c r="T1141"/>
      <c r="U1141"/>
      <c r="V1141"/>
      <c r="W1141"/>
      <c r="Z1141"/>
      <c r="AA1141"/>
      <c r="AD1141"/>
    </row>
    <row r="1142" spans="11:30" ht="18" customHeight="1">
      <c r="K1142" t="str">
        <f>IF(OR($I1142="Čaká na integráciu",$J1142="Integrácia"),"ÁNO","")</f>
        <v/>
      </c>
      <c r="L1142" t="str">
        <f>IF(OR($I1142="Čaká na biznis",$J1142="Biznis",$J1142="Švédsky biznis"),"ÁNO","")</f>
        <v/>
      </c>
      <c r="N1142" s="2"/>
      <c r="O1142" s="3"/>
      <c r="Q1142"/>
      <c r="R1142" s="3"/>
      <c r="S1142" s="3"/>
      <c r="T1142"/>
      <c r="U1142"/>
      <c r="V1142"/>
      <c r="W1142"/>
      <c r="Z1142"/>
      <c r="AA1142"/>
      <c r="AD1142"/>
    </row>
    <row r="1143" spans="11:30" ht="18" customHeight="1">
      <c r="K1143" t="str">
        <f>IF(OR($I1143="Čaká na integráciu",$J1143="Integrácia"),"ÁNO","")</f>
        <v/>
      </c>
      <c r="L1143" t="str">
        <f>IF(OR($I1143="Čaká na biznis",$J1143="Biznis",$J1143="Švédsky biznis"),"ÁNO","")</f>
        <v/>
      </c>
      <c r="N1143" s="2"/>
      <c r="O1143" s="3"/>
      <c r="Q1143"/>
      <c r="R1143" s="3"/>
      <c r="S1143" s="3"/>
      <c r="T1143"/>
      <c r="U1143"/>
      <c r="V1143"/>
      <c r="W1143"/>
      <c r="Z1143"/>
      <c r="AA1143"/>
      <c r="AD1143"/>
    </row>
    <row r="1144" spans="11:30" ht="18" customHeight="1">
      <c r="K1144" t="str">
        <f>IF(OR($I1144="Čaká na integráciu",$J1144="Integrácia"),"ÁNO","")</f>
        <v/>
      </c>
      <c r="L1144" t="str">
        <f>IF(OR($I1144="Čaká na biznis",$J1144="Biznis",$J1144="Švédsky biznis"),"ÁNO","")</f>
        <v/>
      </c>
      <c r="N1144" s="2"/>
      <c r="O1144" s="3"/>
      <c r="Q1144"/>
      <c r="R1144" s="3"/>
      <c r="S1144" s="3"/>
      <c r="T1144"/>
      <c r="U1144"/>
      <c r="V1144"/>
      <c r="W1144"/>
      <c r="Z1144"/>
      <c r="AA1144"/>
      <c r="AD1144"/>
    </row>
    <row r="1145" spans="11:30" ht="18" customHeight="1">
      <c r="K1145" t="str">
        <f>IF(OR($I1145="Čaká na integráciu",$J1145="Integrácia"),"ÁNO","")</f>
        <v/>
      </c>
      <c r="L1145" t="str">
        <f>IF(OR($I1145="Čaká na biznis",$J1145="Biznis",$J1145="Švédsky biznis"),"ÁNO","")</f>
        <v/>
      </c>
      <c r="N1145" s="2"/>
      <c r="O1145" s="3"/>
      <c r="Q1145"/>
      <c r="R1145" s="3"/>
      <c r="S1145" s="3"/>
      <c r="T1145"/>
      <c r="U1145"/>
      <c r="V1145"/>
      <c r="W1145"/>
      <c r="Z1145"/>
      <c r="AA1145"/>
      <c r="AD1145"/>
    </row>
    <row r="1146" spans="11:30" ht="18" customHeight="1">
      <c r="K1146" t="str">
        <f>IF(OR($I1146="Čaká na integráciu",$J1146="Integrácia"),"ÁNO","")</f>
        <v/>
      </c>
      <c r="L1146" t="str">
        <f>IF(OR($I1146="Čaká na biznis",$J1146="Biznis",$J1146="Švédsky biznis"),"ÁNO","")</f>
        <v/>
      </c>
      <c r="N1146" s="2"/>
      <c r="O1146" s="3"/>
      <c r="Q1146"/>
      <c r="R1146" s="3"/>
      <c r="S1146" s="3"/>
      <c r="T1146"/>
      <c r="U1146"/>
      <c r="V1146"/>
      <c r="W1146"/>
      <c r="Z1146"/>
      <c r="AA1146"/>
      <c r="AD1146"/>
    </row>
    <row r="1147" spans="11:30" ht="18" customHeight="1">
      <c r="K1147" t="str">
        <f>IF(OR($I1147="Čaká na integráciu",$J1147="Integrácia"),"ÁNO","")</f>
        <v/>
      </c>
      <c r="L1147" t="str">
        <f>IF(OR($I1147="Čaká na biznis",$J1147="Biznis",$J1147="Švédsky biznis"),"ÁNO","")</f>
        <v/>
      </c>
      <c r="N1147" s="2"/>
      <c r="O1147" s="3"/>
      <c r="Q1147"/>
      <c r="R1147" s="3"/>
      <c r="S1147" s="3"/>
      <c r="T1147"/>
      <c r="U1147"/>
      <c r="V1147"/>
      <c r="W1147"/>
      <c r="Z1147"/>
      <c r="AA1147"/>
      <c r="AD1147"/>
    </row>
    <row r="1148" spans="11:30" ht="18" customHeight="1">
      <c r="K1148" t="str">
        <f>IF(OR($I1148="Čaká na integráciu",$J1148="Integrácia"),"ÁNO","")</f>
        <v/>
      </c>
      <c r="L1148" t="str">
        <f>IF(OR($I1148="Čaká na biznis",$J1148="Biznis",$J1148="Švédsky biznis"),"ÁNO","")</f>
        <v/>
      </c>
      <c r="N1148" s="2"/>
      <c r="O1148" s="3"/>
      <c r="Q1148"/>
      <c r="R1148" s="3"/>
      <c r="S1148" s="3"/>
      <c r="T1148"/>
      <c r="U1148"/>
      <c r="V1148"/>
      <c r="W1148"/>
      <c r="Z1148"/>
      <c r="AA1148"/>
      <c r="AD1148"/>
    </row>
    <row r="1149" spans="11:30" ht="18" customHeight="1">
      <c r="K1149" t="str">
        <f>IF(OR($I1149="Čaká na integráciu",$J1149="Integrácia"),"ÁNO","")</f>
        <v/>
      </c>
      <c r="L1149" t="str">
        <f>IF(OR($I1149="Čaká na biznis",$J1149="Biznis",$J1149="Švédsky biznis"),"ÁNO","")</f>
        <v/>
      </c>
      <c r="N1149" s="2"/>
      <c r="O1149" s="3"/>
      <c r="Q1149"/>
      <c r="R1149" s="3"/>
      <c r="S1149" s="3"/>
      <c r="T1149"/>
      <c r="U1149"/>
      <c r="V1149"/>
      <c r="W1149"/>
      <c r="Z1149"/>
      <c r="AA1149"/>
      <c r="AD1149"/>
    </row>
    <row r="1150" spans="11:30" ht="18" customHeight="1">
      <c r="K1150" t="str">
        <f>IF(OR($I1150="Čaká na integráciu",$J1150="Integrácia"),"ÁNO","")</f>
        <v/>
      </c>
      <c r="L1150" t="str">
        <f>IF(OR($I1150="Čaká na biznis",$J1150="Biznis",$J1150="Švédsky biznis"),"ÁNO","")</f>
        <v/>
      </c>
      <c r="N1150" s="2"/>
      <c r="O1150" s="3"/>
      <c r="Q1150"/>
      <c r="R1150" s="3"/>
      <c r="S1150" s="3"/>
      <c r="T1150"/>
      <c r="U1150"/>
      <c r="V1150"/>
      <c r="W1150"/>
      <c r="Z1150"/>
      <c r="AA1150"/>
      <c r="AD1150"/>
    </row>
    <row r="1151" spans="11:30" ht="18" customHeight="1">
      <c r="K1151" t="str">
        <f>IF(OR($I1151="Čaká na integráciu",$J1151="Integrácia"),"ÁNO","")</f>
        <v/>
      </c>
      <c r="L1151" t="str">
        <f>IF(OR($I1151="Čaká na biznis",$J1151="Biznis",$J1151="Švédsky biznis"),"ÁNO","")</f>
        <v/>
      </c>
      <c r="N1151" s="2"/>
      <c r="O1151" s="3"/>
      <c r="Q1151"/>
      <c r="R1151" s="3"/>
      <c r="S1151" s="3"/>
      <c r="T1151"/>
      <c r="U1151"/>
      <c r="V1151"/>
      <c r="W1151"/>
      <c r="Z1151"/>
      <c r="AA1151"/>
      <c r="AD1151"/>
    </row>
    <row r="1152" spans="11:30" ht="18" customHeight="1">
      <c r="K1152" t="str">
        <f>IF(OR($I1152="Čaká na integráciu",$J1152="Integrácia"),"ÁNO","")</f>
        <v/>
      </c>
      <c r="L1152" t="str">
        <f>IF(OR($I1152="Čaká na biznis",$J1152="Biznis",$J1152="Švédsky biznis"),"ÁNO","")</f>
        <v/>
      </c>
      <c r="N1152" s="2"/>
      <c r="O1152" s="3"/>
      <c r="Q1152"/>
      <c r="R1152" s="3"/>
      <c r="S1152" s="3"/>
      <c r="T1152"/>
      <c r="U1152"/>
      <c r="V1152"/>
      <c r="W1152"/>
      <c r="Z1152"/>
      <c r="AA1152"/>
      <c r="AD1152"/>
    </row>
    <row r="1153" spans="11:30" ht="18" customHeight="1">
      <c r="K1153" t="str">
        <f>IF(OR($I1153="Čaká na integráciu",$J1153="Integrácia"),"ÁNO","")</f>
        <v/>
      </c>
      <c r="L1153" t="str">
        <f>IF(OR($I1153="Čaká na biznis",$J1153="Biznis",$J1153="Švédsky biznis"),"ÁNO","")</f>
        <v/>
      </c>
      <c r="N1153" s="2"/>
      <c r="O1153" s="3"/>
      <c r="Q1153"/>
      <c r="R1153" s="3"/>
      <c r="S1153" s="3"/>
      <c r="T1153"/>
      <c r="U1153"/>
      <c r="V1153"/>
      <c r="W1153"/>
      <c r="Z1153"/>
      <c r="AA1153"/>
      <c r="AD1153"/>
    </row>
    <row r="1154" spans="11:30" ht="18" customHeight="1">
      <c r="K1154" t="str">
        <f>IF(OR($I1154="Čaká na integráciu",$J1154="Integrácia"),"ÁNO","")</f>
        <v/>
      </c>
      <c r="L1154" t="str">
        <f>IF(OR($I1154="Čaká na biznis",$J1154="Biznis",$J1154="Švédsky biznis"),"ÁNO","")</f>
        <v/>
      </c>
      <c r="N1154" s="2"/>
      <c r="O1154" s="3"/>
      <c r="Q1154"/>
      <c r="R1154" s="3"/>
      <c r="S1154" s="3"/>
      <c r="T1154"/>
      <c r="U1154"/>
      <c r="V1154"/>
      <c r="W1154"/>
      <c r="Z1154"/>
      <c r="AA1154"/>
      <c r="AD1154"/>
    </row>
    <row r="1155" spans="11:30" ht="18" customHeight="1">
      <c r="K1155" t="str">
        <f>IF(OR($I1155="Čaká na integráciu",$J1155="Integrácia"),"ÁNO","")</f>
        <v/>
      </c>
      <c r="L1155" t="str">
        <f>IF(OR($I1155="Čaká na biznis",$J1155="Biznis",$J1155="Švédsky biznis"),"ÁNO","")</f>
        <v/>
      </c>
      <c r="N1155" s="2"/>
      <c r="O1155" s="3"/>
      <c r="Q1155"/>
      <c r="R1155" s="3"/>
      <c r="S1155" s="3"/>
      <c r="T1155"/>
      <c r="U1155"/>
      <c r="V1155"/>
      <c r="W1155"/>
      <c r="Z1155"/>
      <c r="AA1155"/>
      <c r="AD1155"/>
    </row>
    <row r="1156" spans="11:30" ht="18" customHeight="1">
      <c r="K1156" t="str">
        <f>IF(OR($I1156="Čaká na integráciu",$J1156="Integrácia"),"ÁNO","")</f>
        <v/>
      </c>
      <c r="L1156" t="str">
        <f>IF(OR($I1156="Čaká na biznis",$J1156="Biznis",$J1156="Švédsky biznis"),"ÁNO","")</f>
        <v/>
      </c>
      <c r="N1156" s="2"/>
      <c r="O1156" s="3"/>
      <c r="Q1156"/>
      <c r="R1156" s="3"/>
      <c r="S1156" s="3"/>
      <c r="T1156"/>
      <c r="U1156"/>
      <c r="V1156"/>
      <c r="W1156"/>
      <c r="Z1156"/>
      <c r="AA1156"/>
      <c r="AD1156"/>
    </row>
    <row r="1157" spans="11:30" ht="18" customHeight="1">
      <c r="K1157" t="str">
        <f>IF(OR($I1157="Čaká na integráciu",$J1157="Integrácia"),"ÁNO","")</f>
        <v/>
      </c>
      <c r="L1157" t="str">
        <f>IF(OR($I1157="Čaká na biznis",$J1157="Biznis",$J1157="Švédsky biznis"),"ÁNO","")</f>
        <v/>
      </c>
      <c r="N1157" s="2"/>
      <c r="O1157" s="3"/>
      <c r="Q1157"/>
      <c r="R1157" s="3"/>
      <c r="S1157" s="3"/>
      <c r="T1157"/>
      <c r="U1157"/>
      <c r="V1157"/>
      <c r="W1157"/>
      <c r="Z1157"/>
      <c r="AA1157"/>
      <c r="AD1157"/>
    </row>
    <row r="1158" spans="11:30" ht="18" customHeight="1">
      <c r="K1158" t="str">
        <f>IF(OR($I1158="Čaká na integráciu",$J1158="Integrácia"),"ÁNO","")</f>
        <v/>
      </c>
      <c r="L1158" t="str">
        <f>IF(OR($I1158="Čaká na biznis",$J1158="Biznis",$J1158="Švédsky biznis"),"ÁNO","")</f>
        <v/>
      </c>
      <c r="N1158" s="2"/>
      <c r="O1158" s="3"/>
      <c r="Q1158"/>
      <c r="R1158" s="3"/>
      <c r="S1158" s="3"/>
      <c r="T1158"/>
      <c r="U1158"/>
      <c r="V1158"/>
      <c r="W1158"/>
      <c r="Z1158"/>
      <c r="AA1158"/>
      <c r="AD1158"/>
    </row>
    <row r="1159" spans="11:30" ht="18" customHeight="1">
      <c r="K1159" t="str">
        <f>IF(OR($I1159="Čaká na integráciu",$J1159="Integrácia"),"ÁNO","")</f>
        <v/>
      </c>
      <c r="L1159" t="str">
        <f>IF(OR($I1159="Čaká na biznis",$J1159="Biznis",$J1159="Švédsky biznis"),"ÁNO","")</f>
        <v/>
      </c>
      <c r="N1159" s="2"/>
      <c r="O1159" s="3"/>
      <c r="Q1159"/>
      <c r="R1159" s="3"/>
      <c r="S1159" s="3"/>
      <c r="T1159"/>
      <c r="U1159"/>
      <c r="V1159"/>
      <c r="W1159"/>
      <c r="Z1159"/>
      <c r="AA1159"/>
      <c r="AD1159"/>
    </row>
    <row r="1160" spans="11:30" ht="18" customHeight="1">
      <c r="K1160" t="str">
        <f>IF(OR($I1160="Čaká na integráciu",$J1160="Integrácia"),"ÁNO","")</f>
        <v/>
      </c>
      <c r="L1160" t="str">
        <f>IF(OR($I1160="Čaká na biznis",$J1160="Biznis",$J1160="Švédsky biznis"),"ÁNO","")</f>
        <v/>
      </c>
      <c r="N1160" s="2"/>
      <c r="O1160" s="3"/>
      <c r="Q1160"/>
      <c r="R1160" s="3"/>
      <c r="S1160" s="3"/>
      <c r="T1160"/>
      <c r="U1160"/>
      <c r="V1160"/>
      <c r="W1160"/>
      <c r="Z1160"/>
      <c r="AA1160"/>
      <c r="AD1160"/>
    </row>
    <row r="1161" spans="11:30" ht="18" customHeight="1">
      <c r="K1161" t="str">
        <f>IF(OR($I1161="Čaká na integráciu",$J1161="Integrácia"),"ÁNO","")</f>
        <v/>
      </c>
      <c r="L1161" t="str">
        <f>IF(OR($I1161="Čaká na biznis",$J1161="Biznis",$J1161="Švédsky biznis"),"ÁNO","")</f>
        <v/>
      </c>
      <c r="N1161" s="2"/>
      <c r="O1161" s="3"/>
      <c r="Q1161"/>
      <c r="R1161" s="3"/>
      <c r="S1161" s="3"/>
      <c r="T1161"/>
      <c r="U1161"/>
      <c r="V1161"/>
      <c r="W1161"/>
      <c r="Z1161"/>
      <c r="AA1161"/>
      <c r="AD1161"/>
    </row>
    <row r="1162" spans="11:30" ht="18" customHeight="1">
      <c r="K1162" t="str">
        <f>IF(OR($I1162="Čaká na integráciu",$J1162="Integrácia"),"ÁNO","")</f>
        <v/>
      </c>
      <c r="L1162" t="str">
        <f>IF(OR($I1162="Čaká na biznis",$J1162="Biznis",$J1162="Švédsky biznis"),"ÁNO","")</f>
        <v/>
      </c>
      <c r="N1162" s="2"/>
      <c r="O1162" s="3"/>
      <c r="Q1162"/>
      <c r="R1162" s="3"/>
      <c r="S1162" s="3"/>
      <c r="T1162"/>
      <c r="U1162"/>
      <c r="V1162"/>
      <c r="W1162"/>
      <c r="Z1162"/>
      <c r="AA1162"/>
      <c r="AD1162"/>
    </row>
    <row r="1163" spans="11:30" ht="18" customHeight="1">
      <c r="K1163" t="str">
        <f>IF(OR($I1163="Čaká na integráciu",$J1163="Integrácia"),"ÁNO","")</f>
        <v/>
      </c>
      <c r="L1163" t="str">
        <f>IF(OR($I1163="Čaká na biznis",$J1163="Biznis",$J1163="Švédsky biznis"),"ÁNO","")</f>
        <v/>
      </c>
      <c r="N1163" s="2"/>
      <c r="O1163" s="3"/>
      <c r="Q1163"/>
      <c r="R1163" s="3"/>
      <c r="S1163" s="3"/>
      <c r="T1163"/>
      <c r="U1163"/>
      <c r="V1163"/>
      <c r="W1163"/>
      <c r="Z1163"/>
      <c r="AA1163"/>
      <c r="AD1163"/>
    </row>
    <row r="1164" spans="11:30" ht="18" customHeight="1">
      <c r="K1164" t="str">
        <f>IF(OR($I1164="Čaká na integráciu",$J1164="Integrácia"),"ÁNO","")</f>
        <v/>
      </c>
      <c r="L1164" t="str">
        <f>IF(OR($I1164="Čaká na biznis",$J1164="Biznis",$J1164="Švédsky biznis"),"ÁNO","")</f>
        <v/>
      </c>
      <c r="N1164" s="2"/>
      <c r="O1164" s="3"/>
      <c r="Q1164"/>
      <c r="R1164" s="3"/>
      <c r="S1164" s="3"/>
      <c r="T1164"/>
      <c r="U1164"/>
      <c r="V1164"/>
      <c r="W1164"/>
      <c r="Z1164"/>
      <c r="AA1164"/>
      <c r="AD1164"/>
    </row>
    <row r="1165" spans="11:30" ht="18" customHeight="1">
      <c r="K1165" t="str">
        <f>IF(OR($I1165="Čaká na integráciu",$J1165="Integrácia"),"ÁNO","")</f>
        <v/>
      </c>
      <c r="L1165" t="str">
        <f>IF(OR($I1165="Čaká na biznis",$J1165="Biznis",$J1165="Švédsky biznis"),"ÁNO","")</f>
        <v/>
      </c>
      <c r="N1165" s="2"/>
      <c r="O1165" s="3"/>
      <c r="Q1165"/>
      <c r="R1165" s="3"/>
      <c r="S1165" s="3"/>
      <c r="T1165"/>
      <c r="U1165"/>
      <c r="V1165"/>
      <c r="W1165"/>
      <c r="Z1165"/>
      <c r="AA1165"/>
      <c r="AD1165"/>
    </row>
    <row r="1166" spans="11:30" ht="18" customHeight="1">
      <c r="K1166" t="str">
        <f>IF(OR($I1166="Čaká na integráciu",$J1166="Integrácia"),"ÁNO","")</f>
        <v/>
      </c>
      <c r="L1166" t="str">
        <f>IF(OR($I1166="Čaká na biznis",$J1166="Biznis",$J1166="Švédsky biznis"),"ÁNO","")</f>
        <v/>
      </c>
      <c r="N1166" s="2"/>
      <c r="O1166" s="3"/>
      <c r="Q1166"/>
      <c r="R1166" s="3"/>
      <c r="S1166" s="3"/>
      <c r="T1166"/>
      <c r="U1166"/>
      <c r="V1166"/>
      <c r="W1166"/>
      <c r="Z1166"/>
      <c r="AA1166"/>
      <c r="AD1166"/>
    </row>
    <row r="1167" spans="11:30" ht="18" customHeight="1">
      <c r="K1167" t="str">
        <f>IF(OR($I1167="Čaká na integráciu",$J1167="Integrácia"),"ÁNO","")</f>
        <v/>
      </c>
      <c r="L1167" t="str">
        <f>IF(OR($I1167="Čaká na biznis",$J1167="Biznis",$J1167="Švédsky biznis"),"ÁNO","")</f>
        <v/>
      </c>
      <c r="N1167" s="2"/>
      <c r="O1167" s="3"/>
      <c r="Q1167"/>
      <c r="R1167" s="3"/>
      <c r="S1167" s="3"/>
      <c r="T1167"/>
      <c r="U1167"/>
      <c r="V1167"/>
      <c r="W1167"/>
      <c r="Z1167"/>
      <c r="AA1167"/>
      <c r="AD1167"/>
    </row>
    <row r="1168" spans="11:30" ht="18" customHeight="1">
      <c r="K1168" t="str">
        <f>IF(OR($I1168="Čaká na integráciu",$J1168="Integrácia"),"ÁNO","")</f>
        <v/>
      </c>
      <c r="L1168" t="str">
        <f>IF(OR($I1168="Čaká na biznis",$J1168="Biznis",$J1168="Švédsky biznis"),"ÁNO","")</f>
        <v/>
      </c>
      <c r="N1168" s="2"/>
      <c r="O1168" s="3"/>
      <c r="Q1168"/>
      <c r="R1168" s="3"/>
      <c r="S1168" s="3"/>
      <c r="T1168"/>
      <c r="U1168"/>
      <c r="V1168"/>
      <c r="W1168"/>
      <c r="Z1168"/>
      <c r="AA1168"/>
      <c r="AD1168"/>
    </row>
    <row r="1169" spans="11:30" ht="18" customHeight="1">
      <c r="K1169" t="str">
        <f>IF(OR($I1169="Čaká na integráciu",$J1169="Integrácia"),"ÁNO","")</f>
        <v/>
      </c>
      <c r="L1169" t="str">
        <f>IF(OR($I1169="Čaká na biznis",$J1169="Biznis",$J1169="Švédsky biznis"),"ÁNO","")</f>
        <v/>
      </c>
      <c r="N1169" s="2"/>
      <c r="O1169" s="3"/>
      <c r="Q1169"/>
      <c r="R1169" s="3"/>
      <c r="S1169" s="3"/>
      <c r="T1169"/>
      <c r="U1169"/>
      <c r="V1169"/>
      <c r="W1169"/>
      <c r="Z1169"/>
      <c r="AA1169"/>
      <c r="AD1169"/>
    </row>
    <row r="1170" spans="11:30" ht="18" customHeight="1">
      <c r="K1170" t="str">
        <f>IF(OR($I1170="Čaká na integráciu",$J1170="Integrácia"),"ÁNO","")</f>
        <v/>
      </c>
      <c r="L1170" t="str">
        <f>IF(OR($I1170="Čaká na biznis",$J1170="Biznis",$J1170="Švédsky biznis"),"ÁNO","")</f>
        <v/>
      </c>
      <c r="N1170" s="2"/>
      <c r="O1170" s="3"/>
      <c r="Q1170"/>
      <c r="R1170" s="3"/>
      <c r="S1170" s="3"/>
      <c r="T1170"/>
      <c r="U1170"/>
      <c r="V1170"/>
      <c r="W1170"/>
      <c r="Z1170"/>
      <c r="AA1170"/>
      <c r="AD1170"/>
    </row>
    <row r="1171" spans="11:30" ht="18" customHeight="1">
      <c r="K1171" t="str">
        <f>IF(OR($I1171="Čaká na integráciu",$J1171="Integrácia"),"ÁNO","")</f>
        <v/>
      </c>
      <c r="L1171" t="str">
        <f>IF(OR($I1171="Čaká na biznis",$J1171="Biznis",$J1171="Švédsky biznis"),"ÁNO","")</f>
        <v/>
      </c>
      <c r="N1171" s="2"/>
      <c r="O1171" s="3"/>
      <c r="Q1171"/>
      <c r="R1171" s="3"/>
      <c r="S1171" s="3"/>
      <c r="T1171"/>
      <c r="U1171"/>
      <c r="V1171"/>
      <c r="W1171"/>
      <c r="Z1171"/>
      <c r="AA1171"/>
      <c r="AD1171"/>
    </row>
    <row r="1172" spans="11:30" ht="18" customHeight="1">
      <c r="K1172" t="str">
        <f>IF(OR($I1172="Čaká na integráciu",$J1172="Integrácia"),"ÁNO","")</f>
        <v/>
      </c>
      <c r="L1172" t="str">
        <f>IF(OR($I1172="Čaká na biznis",$J1172="Biznis",$J1172="Švédsky biznis"),"ÁNO","")</f>
        <v/>
      </c>
      <c r="N1172" s="2"/>
      <c r="O1172" s="3"/>
      <c r="Q1172"/>
      <c r="R1172" s="3"/>
      <c r="S1172" s="3"/>
      <c r="T1172"/>
      <c r="U1172"/>
      <c r="V1172"/>
      <c r="W1172"/>
      <c r="Z1172"/>
      <c r="AA1172"/>
      <c r="AD1172"/>
    </row>
    <row r="1173" spans="11:30" ht="18" customHeight="1">
      <c r="K1173" t="str">
        <f>IF(OR($I1173="Čaká na integráciu",$J1173="Integrácia"),"ÁNO","")</f>
        <v/>
      </c>
      <c r="L1173" t="str">
        <f>IF(OR($I1173="Čaká na biznis",$J1173="Biznis",$J1173="Švédsky biznis"),"ÁNO","")</f>
        <v/>
      </c>
      <c r="N1173" s="2"/>
      <c r="O1173" s="3"/>
      <c r="Q1173"/>
      <c r="R1173" s="3"/>
      <c r="S1173" s="3"/>
      <c r="T1173"/>
      <c r="U1173"/>
      <c r="V1173"/>
      <c r="W1173"/>
      <c r="Z1173"/>
      <c r="AA1173"/>
      <c r="AD1173"/>
    </row>
    <row r="1174" spans="11:30" ht="18" customHeight="1">
      <c r="K1174" t="str">
        <f>IF(OR($I1174="Čaká na integráciu",$J1174="Integrácia"),"ÁNO","")</f>
        <v/>
      </c>
      <c r="L1174" t="str">
        <f>IF(OR($I1174="Čaká na biznis",$J1174="Biznis",$J1174="Švédsky biznis"),"ÁNO","")</f>
        <v/>
      </c>
      <c r="N1174" s="2"/>
      <c r="O1174" s="3"/>
      <c r="Q1174"/>
      <c r="R1174" s="3"/>
      <c r="S1174" s="3"/>
      <c r="T1174"/>
      <c r="U1174"/>
      <c r="V1174"/>
      <c r="W1174"/>
      <c r="Z1174"/>
      <c r="AA1174"/>
      <c r="AD1174"/>
    </row>
    <row r="1175" spans="11:30" ht="18" customHeight="1">
      <c r="K1175" t="str">
        <f>IF(OR($I1175="Čaká na integráciu",$J1175="Integrácia"),"ÁNO","")</f>
        <v/>
      </c>
      <c r="L1175" t="str">
        <f>IF(OR($I1175="Čaká na biznis",$J1175="Biznis",$J1175="Švédsky biznis"),"ÁNO","")</f>
        <v/>
      </c>
      <c r="N1175" s="2"/>
      <c r="O1175" s="3"/>
      <c r="Q1175"/>
      <c r="R1175" s="3"/>
      <c r="S1175" s="3"/>
      <c r="T1175"/>
      <c r="U1175"/>
      <c r="V1175"/>
      <c r="W1175"/>
      <c r="Z1175"/>
      <c r="AA1175"/>
      <c r="AD1175"/>
    </row>
    <row r="1176" spans="11:30" ht="18" customHeight="1">
      <c r="K1176" t="str">
        <f>IF(OR($I1176="Čaká na integráciu",$J1176="Integrácia"),"ÁNO","")</f>
        <v/>
      </c>
      <c r="L1176" t="str">
        <f>IF(OR($I1176="Čaká na biznis",$J1176="Biznis",$J1176="Švédsky biznis"),"ÁNO","")</f>
        <v/>
      </c>
      <c r="N1176" s="2"/>
      <c r="O1176" s="3"/>
      <c r="Q1176"/>
      <c r="R1176" s="3"/>
      <c r="S1176" s="3"/>
      <c r="T1176"/>
      <c r="U1176"/>
      <c r="V1176"/>
      <c r="W1176"/>
      <c r="Z1176"/>
      <c r="AA1176"/>
      <c r="AD1176"/>
    </row>
    <row r="1177" spans="11:30" ht="18" customHeight="1">
      <c r="K1177" t="str">
        <f>IF(OR($I1177="Čaká na integráciu",$J1177="Integrácia"),"ÁNO","")</f>
        <v/>
      </c>
      <c r="L1177" t="str">
        <f>IF(OR($I1177="Čaká na biznis",$J1177="Biznis",$J1177="Švédsky biznis"),"ÁNO","")</f>
        <v/>
      </c>
      <c r="N1177" s="2"/>
      <c r="O1177" s="3"/>
      <c r="Q1177"/>
      <c r="R1177" s="3"/>
      <c r="S1177" s="3"/>
      <c r="T1177"/>
      <c r="U1177"/>
      <c r="V1177"/>
      <c r="W1177"/>
      <c r="Z1177"/>
      <c r="AA1177"/>
      <c r="AD1177"/>
    </row>
    <row r="1178" spans="11:30" ht="18" customHeight="1">
      <c r="K1178" t="str">
        <f>IF(OR($I1178="Čaká na integráciu",$J1178="Integrácia"),"ÁNO","")</f>
        <v/>
      </c>
      <c r="L1178" t="str">
        <f>IF(OR($I1178="Čaká na biznis",$J1178="Biznis",$J1178="Švédsky biznis"),"ÁNO","")</f>
        <v/>
      </c>
      <c r="N1178" s="2"/>
      <c r="O1178" s="3"/>
      <c r="Q1178"/>
      <c r="R1178" s="3"/>
      <c r="S1178" s="3"/>
      <c r="T1178"/>
      <c r="U1178"/>
      <c r="V1178"/>
      <c r="W1178"/>
      <c r="Z1178"/>
      <c r="AA1178"/>
      <c r="AD1178"/>
    </row>
    <row r="1179" spans="11:30" ht="18" customHeight="1">
      <c r="K1179" t="str">
        <f>IF(OR($I1179="Čaká na integráciu",$J1179="Integrácia"),"ÁNO","")</f>
        <v/>
      </c>
      <c r="L1179" t="str">
        <f>IF(OR($I1179="Čaká na biznis",$J1179="Biznis",$J1179="Švédsky biznis"),"ÁNO","")</f>
        <v/>
      </c>
      <c r="N1179" s="2"/>
      <c r="O1179" s="3"/>
      <c r="Q1179"/>
      <c r="R1179" s="3"/>
      <c r="S1179" s="3"/>
      <c r="T1179"/>
      <c r="U1179"/>
      <c r="V1179"/>
      <c r="W1179"/>
      <c r="Z1179"/>
      <c r="AA1179"/>
      <c r="AD1179"/>
    </row>
    <row r="1180" spans="11:30" ht="18" customHeight="1">
      <c r="K1180" t="str">
        <f>IF(OR($I1180="Čaká na integráciu",$J1180="Integrácia"),"ÁNO","")</f>
        <v/>
      </c>
      <c r="L1180" t="str">
        <f>IF(OR($I1180="Čaká na biznis",$J1180="Biznis",$J1180="Švédsky biznis"),"ÁNO","")</f>
        <v/>
      </c>
      <c r="N1180" s="2"/>
      <c r="O1180" s="3"/>
      <c r="Q1180"/>
      <c r="R1180" s="3"/>
      <c r="S1180" s="3"/>
      <c r="T1180"/>
      <c r="U1180"/>
      <c r="V1180"/>
      <c r="W1180"/>
      <c r="Z1180"/>
      <c r="AA1180"/>
      <c r="AD1180"/>
    </row>
    <row r="1181" spans="11:30" ht="18" customHeight="1">
      <c r="K1181" t="str">
        <f>IF(OR($I1181="Čaká na integráciu",$J1181="Integrácia"),"ÁNO","")</f>
        <v/>
      </c>
      <c r="L1181" t="str">
        <f>IF(OR($I1181="Čaká na biznis",$J1181="Biznis",$J1181="Švédsky biznis"),"ÁNO","")</f>
        <v/>
      </c>
      <c r="N1181" s="2"/>
      <c r="O1181" s="3"/>
      <c r="Q1181"/>
      <c r="R1181" s="3"/>
      <c r="S1181" s="3"/>
      <c r="T1181"/>
      <c r="U1181"/>
      <c r="V1181"/>
      <c r="W1181"/>
      <c r="Z1181"/>
      <c r="AA1181"/>
      <c r="AD1181"/>
    </row>
    <row r="1182" spans="11:30" ht="18" customHeight="1">
      <c r="K1182" t="str">
        <f>IF(OR($I1182="Čaká na integráciu",$J1182="Integrácia"),"ÁNO","")</f>
        <v/>
      </c>
      <c r="L1182" t="str">
        <f>IF(OR($I1182="Čaká na biznis",$J1182="Biznis",$J1182="Švédsky biznis"),"ÁNO","")</f>
        <v/>
      </c>
      <c r="N1182" s="2"/>
      <c r="O1182" s="3"/>
      <c r="Q1182"/>
      <c r="R1182" s="3"/>
      <c r="S1182" s="3"/>
      <c r="T1182"/>
      <c r="U1182"/>
      <c r="V1182"/>
      <c r="W1182"/>
      <c r="Z1182"/>
      <c r="AA1182"/>
      <c r="AD1182"/>
    </row>
    <row r="1183" spans="11:30" ht="18" customHeight="1">
      <c r="K1183" t="str">
        <f>IF(OR($I1183="Čaká na integráciu",$J1183="Integrácia"),"ÁNO","")</f>
        <v/>
      </c>
      <c r="L1183" t="str">
        <f>IF(OR($I1183="Čaká na biznis",$J1183="Biznis",$J1183="Švédsky biznis"),"ÁNO","")</f>
        <v/>
      </c>
      <c r="N1183" s="2"/>
      <c r="O1183" s="3"/>
      <c r="Q1183"/>
      <c r="R1183" s="3"/>
      <c r="S1183" s="3"/>
      <c r="T1183"/>
      <c r="U1183"/>
      <c r="V1183"/>
      <c r="W1183"/>
      <c r="Z1183"/>
      <c r="AA1183"/>
      <c r="AD1183"/>
    </row>
    <row r="1184" spans="11:30" ht="18" customHeight="1">
      <c r="K1184" t="str">
        <f>IF(OR($I1184="Čaká na integráciu",$J1184="Integrácia"),"ÁNO","")</f>
        <v/>
      </c>
      <c r="L1184" t="str">
        <f>IF(OR($I1184="Čaká na biznis",$J1184="Biznis",$J1184="Švédsky biznis"),"ÁNO","")</f>
        <v/>
      </c>
      <c r="N1184" s="2"/>
      <c r="O1184" s="3"/>
      <c r="Q1184"/>
      <c r="R1184" s="3"/>
      <c r="S1184" s="3"/>
      <c r="T1184"/>
      <c r="U1184"/>
      <c r="V1184"/>
      <c r="W1184"/>
      <c r="Z1184"/>
      <c r="AA1184"/>
      <c r="AD1184"/>
    </row>
    <row r="1185" spans="11:30" ht="18" customHeight="1">
      <c r="K1185" t="str">
        <f>IF(OR($I1185="Čaká na integráciu",$J1185="Integrácia"),"ÁNO","")</f>
        <v/>
      </c>
      <c r="L1185" t="str">
        <f>IF(OR($I1185="Čaká na biznis",$J1185="Biznis",$J1185="Švédsky biznis"),"ÁNO","")</f>
        <v/>
      </c>
      <c r="N1185" s="2"/>
      <c r="O1185" s="3"/>
      <c r="Q1185"/>
      <c r="R1185" s="3"/>
      <c r="S1185" s="3"/>
      <c r="T1185"/>
      <c r="U1185"/>
      <c r="V1185"/>
      <c r="W1185"/>
      <c r="Z1185"/>
      <c r="AA1185"/>
      <c r="AD1185"/>
    </row>
    <row r="1186" spans="11:30" ht="18" customHeight="1">
      <c r="K1186" t="str">
        <f>IF(OR($I1186="Čaká na integráciu",$J1186="Integrácia"),"ÁNO","")</f>
        <v/>
      </c>
      <c r="L1186" t="str">
        <f>IF(OR($I1186="Čaká na biznis",$J1186="Biznis",$J1186="Švédsky biznis"),"ÁNO","")</f>
        <v/>
      </c>
      <c r="N1186" s="2"/>
      <c r="O1186" s="3"/>
      <c r="Q1186"/>
      <c r="R1186" s="3"/>
      <c r="S1186" s="3"/>
      <c r="T1186"/>
      <c r="U1186"/>
      <c r="V1186"/>
      <c r="W1186"/>
      <c r="Z1186"/>
      <c r="AA1186"/>
      <c r="AD1186"/>
    </row>
    <row r="1187" spans="11:30" ht="18" customHeight="1">
      <c r="K1187" t="str">
        <f>IF(OR($I1187="Čaká na integráciu",$J1187="Integrácia"),"ÁNO","")</f>
        <v/>
      </c>
      <c r="L1187" t="str">
        <f>IF(OR($I1187="Čaká na biznis",$J1187="Biznis",$J1187="Švédsky biznis"),"ÁNO","")</f>
        <v/>
      </c>
      <c r="N1187" s="2"/>
      <c r="O1187" s="3"/>
      <c r="Q1187"/>
      <c r="R1187" s="3"/>
      <c r="S1187" s="3"/>
      <c r="T1187"/>
      <c r="U1187"/>
      <c r="V1187"/>
      <c r="W1187"/>
      <c r="Z1187"/>
      <c r="AA1187"/>
      <c r="AD1187"/>
    </row>
    <row r="1188" spans="11:30" ht="18" customHeight="1">
      <c r="K1188" t="str">
        <f>IF(OR($I1188="Čaká na integráciu",$J1188="Integrácia"),"ÁNO","")</f>
        <v/>
      </c>
      <c r="L1188" t="str">
        <f>IF(OR($I1188="Čaká na biznis",$J1188="Biznis",$J1188="Švédsky biznis"),"ÁNO","")</f>
        <v/>
      </c>
      <c r="N1188" s="2"/>
      <c r="O1188" s="3"/>
      <c r="Q1188"/>
      <c r="R1188" s="3"/>
      <c r="S1188" s="3"/>
      <c r="T1188"/>
      <c r="U1188"/>
      <c r="V1188"/>
      <c r="W1188"/>
      <c r="Z1188"/>
      <c r="AA1188"/>
      <c r="AD1188"/>
    </row>
    <row r="1189" spans="11:30" ht="18" customHeight="1">
      <c r="K1189" t="str">
        <f>IF(OR($I1189="Čaká na integráciu",$J1189="Integrácia"),"ÁNO","")</f>
        <v/>
      </c>
      <c r="L1189" t="str">
        <f>IF(OR($I1189="Čaká na biznis",$J1189="Biznis",$J1189="Švédsky biznis"),"ÁNO","")</f>
        <v/>
      </c>
      <c r="N1189" s="2"/>
      <c r="O1189" s="3"/>
      <c r="Q1189"/>
      <c r="R1189" s="3"/>
      <c r="S1189" s="3"/>
      <c r="T1189"/>
      <c r="U1189"/>
      <c r="V1189"/>
      <c r="W1189"/>
      <c r="Z1189"/>
      <c r="AA1189"/>
      <c r="AD1189"/>
    </row>
    <row r="1190" spans="11:30" ht="18" customHeight="1">
      <c r="K1190" t="str">
        <f>IF(OR($I1190="Čaká na integráciu",$J1190="Integrácia"),"ÁNO","")</f>
        <v/>
      </c>
      <c r="L1190" t="str">
        <f>IF(OR($I1190="Čaká na biznis",$J1190="Biznis",$J1190="Švédsky biznis"),"ÁNO","")</f>
        <v/>
      </c>
      <c r="N1190" s="2"/>
      <c r="O1190" s="3"/>
      <c r="Q1190"/>
      <c r="R1190" s="3"/>
      <c r="S1190" s="3"/>
      <c r="T1190"/>
      <c r="U1190"/>
      <c r="V1190"/>
      <c r="W1190"/>
      <c r="Z1190"/>
      <c r="AA1190"/>
      <c r="AD1190"/>
    </row>
    <row r="1191" spans="11:30" ht="18" customHeight="1">
      <c r="K1191" t="str">
        <f>IF(OR($I1191="Čaká na integráciu",$J1191="Integrácia"),"ÁNO","")</f>
        <v/>
      </c>
      <c r="L1191" t="str">
        <f>IF(OR($I1191="Čaká na biznis",$J1191="Biznis",$J1191="Švédsky biznis"),"ÁNO","")</f>
        <v/>
      </c>
      <c r="N1191" s="2"/>
      <c r="O1191" s="3"/>
      <c r="Q1191"/>
      <c r="R1191" s="3"/>
      <c r="S1191" s="3"/>
      <c r="T1191"/>
      <c r="U1191"/>
      <c r="V1191"/>
      <c r="W1191"/>
      <c r="Z1191"/>
      <c r="AA1191"/>
      <c r="AD1191"/>
    </row>
    <row r="1192" spans="11:30" ht="18" customHeight="1">
      <c r="K1192" t="str">
        <f>IF(OR($I1192="Čaká na integráciu",$J1192="Integrácia"),"ÁNO","")</f>
        <v/>
      </c>
      <c r="L1192" t="str">
        <f>IF(OR($I1192="Čaká na biznis",$J1192="Biznis",$J1192="Švédsky biznis"),"ÁNO","")</f>
        <v/>
      </c>
      <c r="N1192" s="2"/>
      <c r="O1192" s="3"/>
      <c r="Q1192"/>
      <c r="R1192" s="3"/>
      <c r="S1192" s="3"/>
      <c r="T1192"/>
      <c r="U1192"/>
      <c r="V1192"/>
      <c r="W1192"/>
      <c r="Z1192"/>
      <c r="AA1192"/>
      <c r="AD1192"/>
    </row>
    <row r="1193" spans="11:30" ht="18" customHeight="1">
      <c r="K1193" t="str">
        <f>IF(OR($I1193="Čaká na integráciu",$J1193="Integrácia"),"ÁNO","")</f>
        <v/>
      </c>
      <c r="L1193" t="str">
        <f>IF(OR($I1193="Čaká na biznis",$J1193="Biznis",$J1193="Švédsky biznis"),"ÁNO","")</f>
        <v/>
      </c>
      <c r="N1193" s="2"/>
      <c r="O1193" s="3"/>
      <c r="Q1193"/>
      <c r="R1193" s="3"/>
      <c r="S1193" s="3"/>
      <c r="T1193"/>
      <c r="U1193"/>
      <c r="V1193"/>
      <c r="W1193"/>
      <c r="Z1193"/>
      <c r="AA1193"/>
      <c r="AD1193"/>
    </row>
    <row r="1194" spans="11:30" ht="18" customHeight="1">
      <c r="K1194" t="str">
        <f>IF(OR($I1194="Čaká na integráciu",$J1194="Integrácia"),"ÁNO","")</f>
        <v/>
      </c>
      <c r="L1194" t="str">
        <f>IF(OR($I1194="Čaká na biznis",$J1194="Biznis",$J1194="Švédsky biznis"),"ÁNO","")</f>
        <v/>
      </c>
      <c r="N1194" s="2"/>
      <c r="O1194" s="3"/>
      <c r="Q1194"/>
      <c r="R1194" s="3"/>
      <c r="S1194" s="3"/>
      <c r="T1194"/>
      <c r="U1194"/>
      <c r="V1194"/>
      <c r="W1194"/>
      <c r="Z1194"/>
      <c r="AA1194"/>
      <c r="AD1194"/>
    </row>
    <row r="1195" spans="11:30" ht="18" customHeight="1">
      <c r="K1195" t="str">
        <f>IF(OR($I1195="Čaká na integráciu",$J1195="Integrácia"),"ÁNO","")</f>
        <v/>
      </c>
      <c r="L1195" t="str">
        <f>IF(OR($I1195="Čaká na biznis",$J1195="Biznis",$J1195="Švédsky biznis"),"ÁNO","")</f>
        <v/>
      </c>
      <c r="N1195" s="2"/>
      <c r="O1195" s="3"/>
      <c r="Q1195"/>
      <c r="R1195" s="3"/>
      <c r="S1195" s="3"/>
      <c r="T1195"/>
      <c r="U1195"/>
      <c r="V1195"/>
      <c r="W1195"/>
      <c r="Z1195"/>
      <c r="AA1195"/>
      <c r="AD1195"/>
    </row>
    <row r="1196" spans="11:30" ht="18" customHeight="1">
      <c r="K1196" t="str">
        <f>IF(OR($I1196="Čaká na integráciu",$J1196="Integrácia"),"ÁNO","")</f>
        <v/>
      </c>
      <c r="L1196" t="str">
        <f>IF(OR($I1196="Čaká na biznis",$J1196="Biznis",$J1196="Švédsky biznis"),"ÁNO","")</f>
        <v/>
      </c>
      <c r="N1196" s="2"/>
      <c r="O1196" s="3"/>
      <c r="Q1196"/>
      <c r="R1196" s="3"/>
      <c r="S1196" s="3"/>
      <c r="T1196"/>
      <c r="U1196"/>
      <c r="V1196"/>
      <c r="W1196"/>
      <c r="Z1196"/>
      <c r="AA1196"/>
      <c r="AD1196"/>
    </row>
    <row r="1197" spans="11:30" ht="18" customHeight="1">
      <c r="K1197" t="str">
        <f>IF(OR($I1197="Čaká na integráciu",$J1197="Integrácia"),"ÁNO","")</f>
        <v/>
      </c>
      <c r="L1197" t="str">
        <f>IF(OR($I1197="Čaká na biznis",$J1197="Biznis",$J1197="Švédsky biznis"),"ÁNO","")</f>
        <v/>
      </c>
      <c r="N1197" s="2"/>
      <c r="O1197" s="3"/>
      <c r="Q1197"/>
      <c r="R1197" s="3"/>
      <c r="S1197" s="3"/>
      <c r="T1197"/>
      <c r="U1197"/>
      <c r="V1197"/>
      <c r="W1197"/>
      <c r="Z1197"/>
      <c r="AA1197"/>
      <c r="AD1197"/>
    </row>
    <row r="1198" spans="11:30" ht="18" customHeight="1">
      <c r="K1198" t="str">
        <f>IF(OR($I1198="Čaká na integráciu",$J1198="Integrácia"),"ÁNO","")</f>
        <v/>
      </c>
      <c r="L1198" t="str">
        <f>IF(OR($I1198="Čaká na biznis",$J1198="Biznis",$J1198="Švédsky biznis"),"ÁNO","")</f>
        <v/>
      </c>
      <c r="N1198" s="2"/>
      <c r="O1198" s="3"/>
      <c r="Q1198"/>
      <c r="R1198" s="3"/>
      <c r="S1198" s="3"/>
      <c r="T1198"/>
      <c r="U1198"/>
      <c r="V1198"/>
      <c r="W1198"/>
      <c r="Z1198"/>
      <c r="AA1198"/>
      <c r="AD1198"/>
    </row>
    <row r="1199" spans="11:30" ht="18" customHeight="1">
      <c r="K1199" t="str">
        <f>IF(OR($I1199="Čaká na integráciu",$J1199="Integrácia"),"ÁNO","")</f>
        <v/>
      </c>
      <c r="L1199" t="str">
        <f>IF(OR($I1199="Čaká na biznis",$J1199="Biznis",$J1199="Švédsky biznis"),"ÁNO","")</f>
        <v/>
      </c>
      <c r="N1199" s="2"/>
      <c r="O1199" s="3"/>
      <c r="Q1199"/>
      <c r="R1199" s="3"/>
      <c r="S1199" s="3"/>
      <c r="T1199"/>
      <c r="U1199"/>
      <c r="V1199"/>
      <c r="W1199"/>
      <c r="Z1199"/>
      <c r="AA1199"/>
      <c r="AD1199"/>
    </row>
    <row r="1200" spans="11:30" ht="18" customHeight="1">
      <c r="K1200" t="str">
        <f>IF(OR($I1200="Čaká na integráciu",$J1200="Integrácia"),"ÁNO","")</f>
        <v/>
      </c>
      <c r="L1200" t="str">
        <f>IF(OR($I1200="Čaká na biznis",$J1200="Biznis",$J1200="Švédsky biznis"),"ÁNO","")</f>
        <v/>
      </c>
      <c r="N1200" s="2"/>
      <c r="O1200" s="3"/>
      <c r="Q1200"/>
      <c r="R1200" s="3"/>
      <c r="S1200" s="3"/>
      <c r="T1200"/>
      <c r="U1200"/>
      <c r="V1200"/>
      <c r="W1200"/>
      <c r="Z1200"/>
      <c r="AA1200"/>
      <c r="AD1200"/>
    </row>
    <row r="1201" spans="11:30" ht="18" customHeight="1">
      <c r="K1201" t="str">
        <f>IF(OR($I1201="Čaká na integráciu",$J1201="Integrácia"),"ÁNO","")</f>
        <v/>
      </c>
      <c r="L1201" t="str">
        <f>IF(OR($I1201="Čaká na biznis",$J1201="Biznis",$J1201="Švédsky biznis"),"ÁNO","")</f>
        <v/>
      </c>
      <c r="N1201" s="2"/>
      <c r="O1201" s="3"/>
      <c r="Q1201"/>
      <c r="R1201" s="3"/>
      <c r="S1201" s="3"/>
      <c r="T1201"/>
      <c r="U1201"/>
      <c r="V1201"/>
      <c r="W1201"/>
      <c r="Z1201"/>
      <c r="AA1201"/>
      <c r="AD1201"/>
    </row>
    <row r="1202" spans="11:30" ht="18" customHeight="1">
      <c r="K1202" t="str">
        <f>IF(OR($I1202="Čaká na integráciu",$J1202="Integrácia"),"ÁNO","")</f>
        <v/>
      </c>
      <c r="L1202" t="str">
        <f>IF(OR($I1202="Čaká na biznis",$J1202="Biznis",$J1202="Švédsky biznis"),"ÁNO","")</f>
        <v/>
      </c>
      <c r="N1202" s="2"/>
      <c r="O1202" s="3"/>
      <c r="Q1202"/>
      <c r="R1202" s="3"/>
      <c r="S1202" s="3"/>
      <c r="T1202"/>
      <c r="U1202"/>
      <c r="V1202"/>
      <c r="W1202"/>
      <c r="Z1202"/>
      <c r="AA1202"/>
      <c r="AD1202"/>
    </row>
    <row r="1203" spans="11:30" ht="18" customHeight="1">
      <c r="K1203" t="str">
        <f>IF(OR($I1203="Čaká na integráciu",$J1203="Integrácia"),"ÁNO","")</f>
        <v/>
      </c>
      <c r="L1203" t="str">
        <f>IF(OR($I1203="Čaká na biznis",$J1203="Biznis",$J1203="Švédsky biznis"),"ÁNO","")</f>
        <v/>
      </c>
      <c r="N1203" s="2"/>
      <c r="O1203" s="3"/>
      <c r="Q1203"/>
      <c r="R1203" s="3"/>
      <c r="S1203" s="3"/>
      <c r="T1203"/>
      <c r="U1203"/>
      <c r="V1203"/>
      <c r="W1203"/>
      <c r="Z1203"/>
      <c r="AA1203"/>
      <c r="AD1203"/>
    </row>
    <row r="1204" spans="11:30" ht="18" customHeight="1">
      <c r="K1204" t="str">
        <f>IF(OR($I1204="Čaká na integráciu",$J1204="Integrácia"),"ÁNO","")</f>
        <v/>
      </c>
      <c r="L1204" t="str">
        <f>IF(OR($I1204="Čaká na biznis",$J1204="Biznis",$J1204="Švédsky biznis"),"ÁNO","")</f>
        <v/>
      </c>
      <c r="N1204" s="2"/>
      <c r="O1204" s="3"/>
      <c r="Q1204"/>
      <c r="R1204" s="3"/>
      <c r="S1204" s="3"/>
      <c r="T1204"/>
      <c r="U1204"/>
      <c r="V1204"/>
      <c r="W1204"/>
      <c r="Z1204"/>
      <c r="AA1204"/>
      <c r="AD1204"/>
    </row>
    <row r="1205" spans="11:30" ht="18" customHeight="1">
      <c r="K1205" t="str">
        <f>IF(OR($I1205="Čaká na integráciu",$J1205="Integrácia"),"ÁNO","")</f>
        <v/>
      </c>
      <c r="L1205" t="str">
        <f>IF(OR($I1205="Čaká na biznis",$J1205="Biznis",$J1205="Švédsky biznis"),"ÁNO","")</f>
        <v/>
      </c>
      <c r="N1205" s="2"/>
      <c r="O1205" s="3"/>
      <c r="Q1205"/>
      <c r="R1205" s="3"/>
      <c r="S1205" s="3"/>
      <c r="T1205"/>
      <c r="U1205"/>
      <c r="V1205"/>
      <c r="W1205"/>
      <c r="Z1205"/>
      <c r="AA1205"/>
      <c r="AD1205"/>
    </row>
    <row r="1206" spans="11:30" ht="18" customHeight="1">
      <c r="K1206" t="str">
        <f>IF(OR($I1206="Čaká na integráciu",$J1206="Integrácia"),"ÁNO","")</f>
        <v/>
      </c>
      <c r="L1206" t="str">
        <f>IF(OR($I1206="Čaká na biznis",$J1206="Biznis",$J1206="Švédsky biznis"),"ÁNO","")</f>
        <v/>
      </c>
      <c r="N1206" s="2"/>
      <c r="O1206" s="3"/>
      <c r="Q1206"/>
      <c r="R1206" s="3"/>
      <c r="S1206" s="3"/>
      <c r="T1206"/>
      <c r="U1206"/>
      <c r="V1206"/>
      <c r="W1206"/>
      <c r="Z1206"/>
      <c r="AA1206"/>
      <c r="AD1206"/>
    </row>
    <row r="1207" spans="11:30" ht="18" customHeight="1">
      <c r="K1207" t="str">
        <f>IF(OR($I1207="Čaká na integráciu",$J1207="Integrácia"),"ÁNO","")</f>
        <v/>
      </c>
      <c r="L1207" t="str">
        <f>IF(OR($I1207="Čaká na biznis",$J1207="Biznis",$J1207="Švédsky biznis"),"ÁNO","")</f>
        <v/>
      </c>
      <c r="N1207" s="2"/>
      <c r="O1207" s="3"/>
      <c r="Q1207"/>
      <c r="R1207" s="3"/>
      <c r="S1207" s="3"/>
      <c r="T1207"/>
      <c r="U1207"/>
      <c r="V1207"/>
      <c r="W1207"/>
      <c r="Z1207"/>
      <c r="AA1207"/>
      <c r="AD1207"/>
    </row>
    <row r="1208" spans="11:30" ht="18" customHeight="1">
      <c r="K1208" t="str">
        <f>IF(OR($I1208="Čaká na integráciu",$J1208="Integrácia"),"ÁNO","")</f>
        <v/>
      </c>
      <c r="L1208" t="str">
        <f>IF(OR($I1208="Čaká na biznis",$J1208="Biznis",$J1208="Švédsky biznis"),"ÁNO","")</f>
        <v/>
      </c>
      <c r="N1208" s="2"/>
      <c r="O1208" s="3"/>
      <c r="Q1208"/>
      <c r="R1208" s="3"/>
      <c r="S1208" s="3"/>
      <c r="T1208"/>
      <c r="U1208"/>
      <c r="V1208"/>
      <c r="W1208"/>
      <c r="Z1208"/>
      <c r="AA1208"/>
      <c r="AD1208"/>
    </row>
    <row r="1209" spans="11:30" ht="18" customHeight="1">
      <c r="K1209" t="str">
        <f>IF(OR($I1209="Čaká na integráciu",$J1209="Integrácia"),"ÁNO","")</f>
        <v/>
      </c>
      <c r="L1209" t="str">
        <f>IF(OR($I1209="Čaká na biznis",$J1209="Biznis",$J1209="Švédsky biznis"),"ÁNO","")</f>
        <v/>
      </c>
      <c r="N1209" s="2"/>
      <c r="O1209" s="3"/>
      <c r="Q1209"/>
      <c r="R1209" s="3"/>
      <c r="S1209" s="3"/>
      <c r="T1209"/>
      <c r="U1209"/>
      <c r="V1209"/>
      <c r="W1209"/>
      <c r="Z1209"/>
      <c r="AA1209"/>
      <c r="AD1209"/>
    </row>
    <row r="1210" spans="11:30" ht="18" customHeight="1">
      <c r="K1210" t="str">
        <f>IF(OR($I1210="Čaká na integráciu",$J1210="Integrácia"),"ÁNO","")</f>
        <v/>
      </c>
      <c r="L1210" t="str">
        <f>IF(OR($I1210="Čaká na biznis",$J1210="Biznis",$J1210="Švédsky biznis"),"ÁNO","")</f>
        <v/>
      </c>
      <c r="N1210" s="2"/>
      <c r="O1210" s="3"/>
      <c r="Q1210"/>
      <c r="R1210" s="3"/>
      <c r="S1210" s="3"/>
      <c r="T1210"/>
      <c r="U1210"/>
      <c r="V1210"/>
      <c r="W1210"/>
      <c r="Z1210"/>
      <c r="AA1210"/>
      <c r="AD1210"/>
    </row>
    <row r="1211" spans="11:30" ht="18" customHeight="1">
      <c r="K1211" t="str">
        <f>IF(OR($I1211="Čaká na integráciu",$J1211="Integrácia"),"ÁNO","")</f>
        <v/>
      </c>
      <c r="L1211" t="str">
        <f>IF(OR($I1211="Čaká na biznis",$J1211="Biznis",$J1211="Švédsky biznis"),"ÁNO","")</f>
        <v/>
      </c>
      <c r="N1211" s="2"/>
      <c r="O1211" s="3"/>
      <c r="Q1211"/>
      <c r="R1211" s="3"/>
      <c r="S1211" s="3"/>
      <c r="T1211"/>
      <c r="U1211"/>
      <c r="V1211"/>
      <c r="W1211"/>
      <c r="Z1211"/>
      <c r="AA1211"/>
      <c r="AD1211"/>
    </row>
    <row r="1212" spans="11:30" ht="18" customHeight="1">
      <c r="K1212" t="str">
        <f>IF(OR($I1212="Čaká na integráciu",$J1212="Integrácia"),"ÁNO","")</f>
        <v/>
      </c>
      <c r="L1212" t="str">
        <f>IF(OR($I1212="Čaká na biznis",$J1212="Biznis",$J1212="Švédsky biznis"),"ÁNO","")</f>
        <v/>
      </c>
      <c r="N1212" s="2"/>
      <c r="O1212" s="3"/>
      <c r="Q1212"/>
      <c r="R1212" s="3"/>
      <c r="S1212" s="3"/>
      <c r="T1212"/>
      <c r="U1212"/>
      <c r="V1212"/>
      <c r="W1212"/>
      <c r="Z1212"/>
      <c r="AA1212"/>
      <c r="AD1212"/>
    </row>
    <row r="1213" spans="11:30" ht="18" customHeight="1">
      <c r="K1213" t="str">
        <f>IF(OR($I1213="Čaká na integráciu",$J1213="Integrácia"),"ÁNO","")</f>
        <v/>
      </c>
      <c r="L1213" t="str">
        <f>IF(OR($I1213="Čaká na biznis",$J1213="Biznis",$J1213="Švédsky biznis"),"ÁNO","")</f>
        <v/>
      </c>
      <c r="N1213" s="2"/>
      <c r="O1213" s="3"/>
      <c r="Q1213"/>
      <c r="R1213" s="3"/>
      <c r="S1213" s="3"/>
      <c r="T1213"/>
      <c r="U1213"/>
      <c r="V1213"/>
      <c r="W1213"/>
      <c r="Z1213"/>
      <c r="AA1213"/>
      <c r="AD1213"/>
    </row>
    <row r="1214" spans="11:30" ht="18" customHeight="1">
      <c r="K1214" t="str">
        <f>IF(OR($I1214="Čaká na integráciu",$J1214="Integrácia"),"ÁNO","")</f>
        <v/>
      </c>
      <c r="L1214" t="str">
        <f>IF(OR($I1214="Čaká na biznis",$J1214="Biznis",$J1214="Švédsky biznis"),"ÁNO","")</f>
        <v/>
      </c>
      <c r="N1214" s="2"/>
      <c r="O1214" s="3"/>
      <c r="Q1214"/>
      <c r="R1214" s="3"/>
      <c r="S1214" s="3"/>
      <c r="T1214"/>
      <c r="U1214"/>
      <c r="V1214"/>
      <c r="W1214"/>
      <c r="Z1214"/>
      <c r="AA1214"/>
      <c r="AD1214"/>
    </row>
    <row r="1215" spans="11:30" ht="18" customHeight="1">
      <c r="K1215" t="str">
        <f>IF(OR($I1215="Čaká na integráciu",$J1215="Integrácia"),"ÁNO","")</f>
        <v/>
      </c>
      <c r="L1215" t="str">
        <f>IF(OR($I1215="Čaká na biznis",$J1215="Biznis",$J1215="Švédsky biznis"),"ÁNO","")</f>
        <v/>
      </c>
      <c r="N1215" s="2"/>
      <c r="O1215" s="3"/>
      <c r="Q1215"/>
      <c r="R1215" s="3"/>
      <c r="S1215" s="3"/>
      <c r="T1215"/>
      <c r="U1215"/>
      <c r="V1215"/>
      <c r="W1215"/>
      <c r="Z1215"/>
      <c r="AA1215"/>
      <c r="AD1215"/>
    </row>
    <row r="1216" spans="11:30" ht="18" customHeight="1">
      <c r="K1216" t="str">
        <f>IF(OR($I1216="Čaká na integráciu",$J1216="Integrácia"),"ÁNO","")</f>
        <v/>
      </c>
      <c r="L1216" t="str">
        <f>IF(OR($I1216="Čaká na biznis",$J1216="Biznis",$J1216="Švédsky biznis"),"ÁNO","")</f>
        <v/>
      </c>
      <c r="N1216" s="2"/>
      <c r="O1216" s="3"/>
      <c r="Q1216"/>
      <c r="R1216" s="3"/>
      <c r="S1216" s="3"/>
      <c r="T1216"/>
      <c r="U1216"/>
      <c r="V1216"/>
      <c r="W1216"/>
      <c r="Z1216"/>
      <c r="AA1216"/>
      <c r="AD1216"/>
    </row>
    <row r="1217" spans="11:30" ht="18" customHeight="1">
      <c r="K1217" t="str">
        <f>IF(OR($I1217="Čaká na integráciu",$J1217="Integrácia"),"ÁNO","")</f>
        <v/>
      </c>
      <c r="L1217" t="str">
        <f>IF(OR($I1217="Čaká na biznis",$J1217="Biznis",$J1217="Švédsky biznis"),"ÁNO","")</f>
        <v/>
      </c>
      <c r="N1217" s="2"/>
      <c r="O1217" s="3"/>
      <c r="Q1217"/>
      <c r="R1217" s="3"/>
      <c r="S1217" s="3"/>
      <c r="T1217"/>
      <c r="U1217"/>
      <c r="V1217"/>
      <c r="W1217"/>
      <c r="Z1217"/>
      <c r="AA1217"/>
      <c r="AD1217"/>
    </row>
    <row r="1218" spans="11:30" ht="18" customHeight="1">
      <c r="K1218" t="str">
        <f>IF(OR($I1218="Čaká na integráciu",$J1218="Integrácia"),"ÁNO","")</f>
        <v/>
      </c>
      <c r="L1218" t="str">
        <f>IF(OR($I1218="Čaká na biznis",$J1218="Biznis",$J1218="Švédsky biznis"),"ÁNO","")</f>
        <v/>
      </c>
      <c r="N1218" s="2"/>
      <c r="O1218" s="3"/>
      <c r="Q1218"/>
      <c r="R1218" s="3"/>
      <c r="S1218" s="3"/>
      <c r="T1218"/>
      <c r="U1218"/>
      <c r="V1218"/>
      <c r="W1218"/>
      <c r="Z1218"/>
      <c r="AA1218"/>
      <c r="AD1218"/>
    </row>
    <row r="1219" spans="11:30" ht="18" customHeight="1">
      <c r="K1219" t="str">
        <f>IF(OR($I1219="Čaká na integráciu",$J1219="Integrácia"),"ÁNO","")</f>
        <v/>
      </c>
      <c r="L1219" t="str">
        <f>IF(OR($I1219="Čaká na biznis",$J1219="Biznis",$J1219="Švédsky biznis"),"ÁNO","")</f>
        <v/>
      </c>
      <c r="N1219" s="2"/>
      <c r="O1219" s="3"/>
      <c r="Q1219"/>
      <c r="R1219" s="3"/>
      <c r="S1219" s="3"/>
      <c r="T1219"/>
      <c r="U1219"/>
      <c r="V1219"/>
      <c r="W1219"/>
      <c r="Z1219"/>
      <c r="AA1219"/>
      <c r="AD1219"/>
    </row>
    <row r="1220" spans="11:30" ht="18" customHeight="1">
      <c r="K1220" t="str">
        <f>IF(OR($I1220="Čaká na integráciu",$J1220="Integrácia"),"ÁNO","")</f>
        <v/>
      </c>
      <c r="L1220" t="str">
        <f>IF(OR($I1220="Čaká na biznis",$J1220="Biznis",$J1220="Švédsky biznis"),"ÁNO","")</f>
        <v/>
      </c>
      <c r="N1220" s="2"/>
      <c r="O1220" s="3"/>
      <c r="Q1220"/>
      <c r="R1220" s="3"/>
      <c r="S1220" s="3"/>
      <c r="T1220"/>
      <c r="U1220"/>
      <c r="V1220"/>
      <c r="W1220"/>
      <c r="Z1220"/>
      <c r="AA1220"/>
      <c r="AD1220"/>
    </row>
    <row r="1221" spans="11:30" ht="18" customHeight="1">
      <c r="K1221" t="str">
        <f>IF(OR($I1221="Čaká na integráciu",$J1221="Integrácia"),"ÁNO","")</f>
        <v/>
      </c>
      <c r="L1221" t="str">
        <f>IF(OR($I1221="Čaká na biznis",$J1221="Biznis",$J1221="Švédsky biznis"),"ÁNO","")</f>
        <v/>
      </c>
      <c r="N1221" s="2"/>
      <c r="O1221" s="3"/>
      <c r="Q1221"/>
      <c r="R1221" s="3"/>
      <c r="S1221" s="3"/>
      <c r="T1221"/>
      <c r="U1221"/>
      <c r="V1221"/>
      <c r="W1221"/>
      <c r="Z1221"/>
      <c r="AA1221"/>
      <c r="AD1221"/>
    </row>
    <row r="1222" spans="11:30" ht="18" customHeight="1">
      <c r="K1222" t="str">
        <f>IF(OR($I1222="Čaká na integráciu",$J1222="Integrácia"),"ÁNO","")</f>
        <v/>
      </c>
      <c r="L1222" t="str">
        <f>IF(OR($I1222="Čaká na biznis",$J1222="Biznis",$J1222="Švédsky biznis"),"ÁNO","")</f>
        <v/>
      </c>
      <c r="N1222" s="2"/>
      <c r="O1222" s="3"/>
      <c r="Q1222"/>
      <c r="R1222" s="3"/>
      <c r="S1222" s="3"/>
      <c r="T1222"/>
      <c r="U1222"/>
      <c r="V1222"/>
      <c r="W1222"/>
      <c r="Z1222"/>
      <c r="AA1222"/>
      <c r="AD1222"/>
    </row>
    <row r="1223" spans="11:30" ht="18" customHeight="1">
      <c r="K1223" t="str">
        <f>IF(OR($I1223="Čaká na integráciu",$J1223="Integrácia"),"ÁNO","")</f>
        <v/>
      </c>
      <c r="L1223" t="str">
        <f>IF(OR($I1223="Čaká na biznis",$J1223="Biznis",$J1223="Švédsky biznis"),"ÁNO","")</f>
        <v/>
      </c>
      <c r="N1223" s="2"/>
      <c r="O1223" s="3"/>
      <c r="Q1223"/>
      <c r="R1223" s="3"/>
      <c r="S1223" s="3"/>
      <c r="T1223"/>
      <c r="U1223"/>
      <c r="V1223"/>
      <c r="W1223"/>
      <c r="Z1223"/>
      <c r="AA1223"/>
      <c r="AD1223"/>
    </row>
    <row r="1224" spans="11:30" ht="18" customHeight="1">
      <c r="K1224" t="str">
        <f>IF(OR($I1224="Čaká na integráciu",$J1224="Integrácia"),"ÁNO","")</f>
        <v/>
      </c>
      <c r="L1224" t="str">
        <f>IF(OR($I1224="Čaká na biznis",$J1224="Biznis",$J1224="Švédsky biznis"),"ÁNO","")</f>
        <v/>
      </c>
      <c r="N1224" s="2"/>
      <c r="O1224" s="3"/>
      <c r="Q1224"/>
      <c r="R1224" s="3"/>
      <c r="S1224" s="3"/>
      <c r="T1224"/>
      <c r="U1224"/>
      <c r="V1224"/>
      <c r="W1224"/>
      <c r="Z1224"/>
      <c r="AA1224"/>
      <c r="AD1224"/>
    </row>
    <row r="1225" spans="11:30" ht="18" customHeight="1">
      <c r="K1225" t="str">
        <f>IF(OR($I1225="Čaká na integráciu",$J1225="Integrácia"),"ÁNO","")</f>
        <v/>
      </c>
      <c r="L1225" t="str">
        <f>IF(OR($I1225="Čaká na biznis",$J1225="Biznis",$J1225="Švédsky biznis"),"ÁNO","")</f>
        <v/>
      </c>
      <c r="N1225" s="2"/>
      <c r="O1225" s="3"/>
      <c r="Q1225"/>
      <c r="R1225" s="3"/>
      <c r="S1225" s="3"/>
      <c r="T1225"/>
      <c r="U1225"/>
      <c r="V1225"/>
      <c r="W1225"/>
      <c r="Z1225"/>
      <c r="AA1225"/>
      <c r="AD1225"/>
    </row>
    <row r="1226" spans="11:30" ht="18" customHeight="1">
      <c r="K1226" t="str">
        <f>IF(OR($I1226="Čaká na integráciu",$J1226="Integrácia"),"ÁNO","")</f>
        <v/>
      </c>
      <c r="L1226" t="str">
        <f>IF(OR($I1226="Čaká na biznis",$J1226="Biznis",$J1226="Švédsky biznis"),"ÁNO","")</f>
        <v/>
      </c>
      <c r="N1226" s="2"/>
      <c r="O1226" s="3"/>
      <c r="Q1226"/>
      <c r="R1226" s="3"/>
      <c r="S1226" s="3"/>
      <c r="T1226"/>
      <c r="U1226"/>
      <c r="V1226"/>
      <c r="W1226"/>
      <c r="Z1226"/>
      <c r="AA1226"/>
      <c r="AD1226"/>
    </row>
    <row r="1227" spans="11:30" ht="18" customHeight="1">
      <c r="K1227" t="str">
        <f>IF(OR($I1227="Čaká na integráciu",$J1227="Integrácia"),"ÁNO","")</f>
        <v/>
      </c>
      <c r="L1227" t="str">
        <f>IF(OR($I1227="Čaká na biznis",$J1227="Biznis",$J1227="Švédsky biznis"),"ÁNO","")</f>
        <v/>
      </c>
      <c r="N1227" s="2"/>
      <c r="O1227" s="3"/>
      <c r="Q1227"/>
      <c r="R1227" s="3"/>
      <c r="S1227" s="3"/>
      <c r="T1227"/>
      <c r="U1227"/>
      <c r="V1227"/>
      <c r="W1227"/>
      <c r="Z1227"/>
      <c r="AA1227"/>
      <c r="AD1227"/>
    </row>
    <row r="1228" spans="11:30" ht="18" customHeight="1">
      <c r="K1228" t="str">
        <f>IF(OR($I1228="Čaká na integráciu",$J1228="Integrácia"),"ÁNO","")</f>
        <v/>
      </c>
      <c r="L1228" t="str">
        <f>IF(OR($I1228="Čaká na biznis",$J1228="Biznis",$J1228="Švédsky biznis"),"ÁNO","")</f>
        <v/>
      </c>
      <c r="N1228" s="2"/>
      <c r="O1228" s="3"/>
      <c r="Q1228"/>
      <c r="R1228" s="3"/>
      <c r="S1228" s="3"/>
      <c r="T1228"/>
      <c r="U1228"/>
      <c r="V1228"/>
      <c r="W1228"/>
      <c r="Z1228"/>
      <c r="AA1228"/>
      <c r="AD1228"/>
    </row>
    <row r="1229" spans="11:30" ht="18" customHeight="1">
      <c r="K1229" t="str">
        <f>IF(OR($I1229="Čaká na integráciu",$J1229="Integrácia"),"ÁNO","")</f>
        <v/>
      </c>
      <c r="L1229" t="str">
        <f>IF(OR($I1229="Čaká na biznis",$J1229="Biznis",$J1229="Švédsky biznis"),"ÁNO","")</f>
        <v/>
      </c>
      <c r="N1229" s="2"/>
      <c r="O1229" s="3"/>
      <c r="Q1229"/>
      <c r="R1229" s="3"/>
      <c r="S1229" s="3"/>
      <c r="T1229"/>
      <c r="U1229"/>
      <c r="V1229"/>
      <c r="W1229"/>
      <c r="Z1229"/>
      <c r="AA1229"/>
      <c r="AD1229"/>
    </row>
    <row r="1230" spans="11:30" ht="18" customHeight="1">
      <c r="K1230" t="str">
        <f>IF(OR($I1230="Čaká na integráciu",$J1230="Integrácia"),"ÁNO","")</f>
        <v/>
      </c>
      <c r="L1230" t="str">
        <f>IF(OR($I1230="Čaká na biznis",$J1230="Biznis",$J1230="Švédsky biznis"),"ÁNO","")</f>
        <v/>
      </c>
      <c r="N1230" s="2"/>
      <c r="O1230" s="3"/>
      <c r="Q1230"/>
      <c r="R1230" s="3"/>
      <c r="S1230" s="3"/>
      <c r="T1230"/>
      <c r="U1230"/>
      <c r="V1230"/>
      <c r="W1230"/>
      <c r="Z1230"/>
      <c r="AA1230"/>
      <c r="AD1230"/>
    </row>
    <row r="1231" spans="11:30" ht="18" customHeight="1">
      <c r="K1231" t="str">
        <f>IF(OR($I1231="Čaká na integráciu",$J1231="Integrácia"),"ÁNO","")</f>
        <v/>
      </c>
      <c r="L1231" t="str">
        <f>IF(OR($I1231="Čaká na biznis",$J1231="Biznis",$J1231="Švédsky biznis"),"ÁNO","")</f>
        <v/>
      </c>
      <c r="N1231" s="2"/>
      <c r="O1231" s="3"/>
      <c r="Q1231"/>
      <c r="R1231" s="3"/>
      <c r="S1231" s="3"/>
      <c r="T1231"/>
      <c r="U1231"/>
      <c r="V1231"/>
      <c r="W1231"/>
      <c r="Z1231"/>
      <c r="AA1231"/>
      <c r="AD1231"/>
    </row>
    <row r="1232" spans="11:30" ht="18" customHeight="1">
      <c r="K1232" t="str">
        <f>IF(OR($I1232="Čaká na integráciu",$J1232="Integrácia"),"ÁNO","")</f>
        <v/>
      </c>
      <c r="L1232" t="str">
        <f>IF(OR($I1232="Čaká na biznis",$J1232="Biznis",$J1232="Švédsky biznis"),"ÁNO","")</f>
        <v/>
      </c>
      <c r="N1232" s="2"/>
      <c r="O1232" s="3"/>
      <c r="Q1232"/>
      <c r="R1232" s="3"/>
      <c r="S1232" s="3"/>
      <c r="T1232"/>
      <c r="U1232"/>
      <c r="V1232"/>
      <c r="W1232"/>
      <c r="Z1232"/>
      <c r="AA1232"/>
      <c r="AD1232"/>
    </row>
    <row r="1233" spans="11:30" ht="18" customHeight="1">
      <c r="K1233" t="str">
        <f>IF(OR($I1233="Čaká na integráciu",$J1233="Integrácia"),"ÁNO","")</f>
        <v/>
      </c>
      <c r="L1233" t="str">
        <f>IF(OR($I1233="Čaká na biznis",$J1233="Biznis",$J1233="Švédsky biznis"),"ÁNO","")</f>
        <v/>
      </c>
      <c r="N1233" s="2"/>
      <c r="O1233" s="3"/>
      <c r="Q1233"/>
      <c r="R1233" s="3"/>
      <c r="S1233" s="3"/>
      <c r="T1233"/>
      <c r="U1233"/>
      <c r="V1233"/>
      <c r="W1233"/>
      <c r="Z1233"/>
      <c r="AA1233"/>
      <c r="AD1233"/>
    </row>
    <row r="1234" spans="11:30" ht="18" customHeight="1">
      <c r="K1234" t="str">
        <f>IF(OR($I1234="Čaká na integráciu",$J1234="Integrácia"),"ÁNO","")</f>
        <v/>
      </c>
      <c r="L1234" t="str">
        <f>IF(OR($I1234="Čaká na biznis",$J1234="Biznis",$J1234="Švédsky biznis"),"ÁNO","")</f>
        <v/>
      </c>
      <c r="N1234" s="2"/>
      <c r="O1234" s="3"/>
      <c r="Q1234"/>
      <c r="R1234" s="3"/>
      <c r="S1234" s="3"/>
      <c r="T1234"/>
      <c r="U1234"/>
      <c r="V1234"/>
      <c r="W1234"/>
      <c r="Z1234"/>
      <c r="AA1234"/>
      <c r="AD1234"/>
    </row>
    <row r="1235" spans="11:30" ht="18" customHeight="1">
      <c r="K1235" t="str">
        <f>IF(OR($I1235="Čaká na integráciu",$J1235="Integrácia"),"ÁNO","")</f>
        <v/>
      </c>
      <c r="L1235" t="str">
        <f>IF(OR($I1235="Čaká na biznis",$J1235="Biznis",$J1235="Švédsky biznis"),"ÁNO","")</f>
        <v/>
      </c>
      <c r="N1235" s="2"/>
      <c r="O1235" s="3"/>
      <c r="Q1235"/>
      <c r="R1235" s="3"/>
      <c r="S1235" s="3"/>
      <c r="T1235"/>
      <c r="U1235"/>
      <c r="V1235"/>
      <c r="W1235"/>
      <c r="Z1235"/>
      <c r="AA1235"/>
      <c r="AD1235"/>
    </row>
    <row r="1236" spans="11:30" ht="18" customHeight="1">
      <c r="K1236" t="str">
        <f>IF(OR($I1236="Čaká na integráciu",$J1236="Integrácia"),"ÁNO","")</f>
        <v/>
      </c>
      <c r="L1236" t="str">
        <f>IF(OR($I1236="Čaká na biznis",$J1236="Biznis",$J1236="Švédsky biznis"),"ÁNO","")</f>
        <v/>
      </c>
      <c r="N1236" s="2"/>
      <c r="O1236" s="3"/>
      <c r="Q1236"/>
      <c r="R1236" s="3"/>
      <c r="S1236" s="3"/>
      <c r="T1236"/>
      <c r="U1236"/>
      <c r="V1236"/>
      <c r="W1236"/>
      <c r="Z1236"/>
      <c r="AA1236"/>
      <c r="AD1236"/>
    </row>
    <row r="1237" spans="11:30" ht="18" customHeight="1">
      <c r="K1237" t="str">
        <f>IF(OR($I1237="Čaká na integráciu",$J1237="Integrácia"),"ÁNO","")</f>
        <v/>
      </c>
      <c r="L1237" t="str">
        <f>IF(OR($I1237="Čaká na biznis",$J1237="Biznis",$J1237="Švédsky biznis"),"ÁNO","")</f>
        <v/>
      </c>
      <c r="N1237" s="2"/>
      <c r="O1237" s="3"/>
      <c r="Q1237"/>
      <c r="R1237" s="3"/>
      <c r="S1237" s="3"/>
      <c r="T1237"/>
      <c r="U1237"/>
      <c r="V1237"/>
      <c r="W1237"/>
      <c r="Z1237"/>
      <c r="AA1237"/>
      <c r="AD1237"/>
    </row>
    <row r="1238" spans="11:30" ht="18" customHeight="1">
      <c r="K1238" t="str">
        <f>IF(OR($I1238="Čaká na integráciu",$J1238="Integrácia"),"ÁNO","")</f>
        <v/>
      </c>
      <c r="L1238" t="str">
        <f>IF(OR($I1238="Čaká na biznis",$J1238="Biznis",$J1238="Švédsky biznis"),"ÁNO","")</f>
        <v/>
      </c>
      <c r="N1238" s="2"/>
      <c r="O1238" s="3"/>
      <c r="Q1238"/>
      <c r="R1238" s="3"/>
      <c r="S1238" s="3"/>
      <c r="T1238"/>
      <c r="U1238"/>
      <c r="V1238"/>
      <c r="W1238"/>
      <c r="Z1238"/>
      <c r="AA1238"/>
      <c r="AD1238"/>
    </row>
    <row r="1239" spans="11:30" ht="18" customHeight="1">
      <c r="K1239" t="str">
        <f>IF(OR($I1239="Čaká na integráciu",$J1239="Integrácia"),"ÁNO","")</f>
        <v/>
      </c>
      <c r="L1239" t="str">
        <f>IF(OR($I1239="Čaká na biznis",$J1239="Biznis",$J1239="Švédsky biznis"),"ÁNO","")</f>
        <v/>
      </c>
      <c r="N1239" s="2"/>
      <c r="O1239" s="3"/>
      <c r="Q1239"/>
      <c r="R1239" s="3"/>
      <c r="S1239" s="3"/>
      <c r="T1239"/>
      <c r="U1239"/>
      <c r="V1239"/>
      <c r="W1239"/>
      <c r="Z1239"/>
      <c r="AA1239"/>
      <c r="AD1239"/>
    </row>
    <row r="1240" spans="11:30" ht="18" customHeight="1">
      <c r="K1240" t="str">
        <f>IF(OR($I1240="Čaká na integráciu",$J1240="Integrácia"),"ÁNO","")</f>
        <v/>
      </c>
      <c r="L1240" t="str">
        <f>IF(OR($I1240="Čaká na biznis",$J1240="Biznis",$J1240="Švédsky biznis"),"ÁNO","")</f>
        <v/>
      </c>
      <c r="N1240" s="2"/>
      <c r="O1240" s="3"/>
      <c r="Q1240"/>
      <c r="R1240" s="3"/>
      <c r="S1240" s="3"/>
      <c r="T1240"/>
      <c r="U1240"/>
      <c r="V1240"/>
      <c r="W1240"/>
      <c r="Z1240"/>
      <c r="AA1240"/>
      <c r="AD1240"/>
    </row>
    <row r="1241" spans="11:30" ht="18" customHeight="1">
      <c r="K1241" t="str">
        <f>IF(OR($I1241="Čaká na integráciu",$J1241="Integrácia"),"ÁNO","")</f>
        <v/>
      </c>
      <c r="L1241" t="str">
        <f>IF(OR($I1241="Čaká na biznis",$J1241="Biznis",$J1241="Švédsky biznis"),"ÁNO","")</f>
        <v/>
      </c>
      <c r="N1241" s="2"/>
      <c r="O1241" s="3"/>
      <c r="Q1241"/>
      <c r="R1241" s="3"/>
      <c r="S1241" s="3"/>
      <c r="T1241"/>
      <c r="U1241"/>
      <c r="V1241"/>
      <c r="W1241"/>
      <c r="Z1241"/>
      <c r="AA1241"/>
      <c r="AD1241"/>
    </row>
    <row r="1242" spans="11:30" ht="18" customHeight="1">
      <c r="K1242" t="str">
        <f>IF(OR($I1242="Čaká na integráciu",$J1242="Integrácia"),"ÁNO","")</f>
        <v/>
      </c>
      <c r="L1242" t="str">
        <f>IF(OR($I1242="Čaká na biznis",$J1242="Biznis",$J1242="Švédsky biznis"),"ÁNO","")</f>
        <v/>
      </c>
      <c r="N1242" s="2"/>
      <c r="O1242" s="3"/>
      <c r="Q1242"/>
      <c r="R1242" s="3"/>
      <c r="S1242" s="3"/>
      <c r="T1242"/>
      <c r="U1242"/>
      <c r="V1242"/>
      <c r="W1242"/>
      <c r="Z1242"/>
      <c r="AA1242"/>
      <c r="AD1242"/>
    </row>
    <row r="1243" spans="11:30" ht="18" customHeight="1">
      <c r="K1243" t="str">
        <f>IF(OR($I1243="Čaká na integráciu",$J1243="Integrácia"),"ÁNO","")</f>
        <v/>
      </c>
      <c r="L1243" t="str">
        <f>IF(OR($I1243="Čaká na biznis",$J1243="Biznis",$J1243="Švédsky biznis"),"ÁNO","")</f>
        <v/>
      </c>
      <c r="N1243" s="2"/>
      <c r="O1243" s="3"/>
      <c r="Q1243"/>
      <c r="R1243" s="3"/>
      <c r="S1243" s="3"/>
      <c r="T1243"/>
      <c r="U1243"/>
      <c r="V1243"/>
      <c r="W1243"/>
      <c r="Z1243"/>
      <c r="AA1243"/>
      <c r="AD1243"/>
    </row>
    <row r="1244" spans="11:30" ht="18" customHeight="1">
      <c r="K1244" t="str">
        <f>IF(OR($I1244="Čaká na integráciu",$J1244="Integrácia"),"ÁNO","")</f>
        <v/>
      </c>
      <c r="L1244" t="str">
        <f>IF(OR($I1244="Čaká na biznis",$J1244="Biznis",$J1244="Švédsky biznis"),"ÁNO","")</f>
        <v/>
      </c>
      <c r="N1244" s="2"/>
      <c r="O1244" s="3"/>
      <c r="Q1244"/>
      <c r="R1244" s="3"/>
      <c r="S1244" s="3"/>
      <c r="T1244"/>
      <c r="U1244"/>
      <c r="V1244"/>
      <c r="W1244"/>
      <c r="Z1244"/>
      <c r="AA1244"/>
      <c r="AD1244"/>
    </row>
    <row r="1245" spans="11:30" ht="18" customHeight="1">
      <c r="K1245" t="str">
        <f>IF(OR($I1245="Čaká na integráciu",$J1245="Integrácia"),"ÁNO","")</f>
        <v/>
      </c>
      <c r="L1245" t="str">
        <f>IF(OR($I1245="Čaká na biznis",$J1245="Biznis",$J1245="Švédsky biznis"),"ÁNO","")</f>
        <v/>
      </c>
      <c r="N1245" s="2"/>
      <c r="O1245" s="3"/>
      <c r="Q1245"/>
      <c r="R1245" s="3"/>
      <c r="S1245" s="3"/>
      <c r="T1245"/>
      <c r="U1245"/>
      <c r="V1245"/>
      <c r="W1245"/>
      <c r="Z1245"/>
      <c r="AA1245"/>
      <c r="AD1245"/>
    </row>
    <row r="1246" spans="11:30" ht="18" customHeight="1">
      <c r="K1246" t="str">
        <f>IF(OR($I1246="Čaká na integráciu",$J1246="Integrácia"),"ÁNO","")</f>
        <v/>
      </c>
      <c r="L1246" t="str">
        <f>IF(OR($I1246="Čaká na biznis",$J1246="Biznis",$J1246="Švédsky biznis"),"ÁNO","")</f>
        <v/>
      </c>
      <c r="N1246" s="2"/>
      <c r="O1246" s="3"/>
      <c r="Q1246"/>
      <c r="R1246" s="3"/>
      <c r="S1246" s="3"/>
      <c r="T1246"/>
      <c r="U1246"/>
      <c r="V1246"/>
      <c r="W1246"/>
      <c r="Z1246"/>
      <c r="AA1246"/>
      <c r="AD1246"/>
    </row>
    <row r="1247" spans="11:30" ht="18" customHeight="1">
      <c r="K1247" t="str">
        <f>IF(OR($I1247="Čaká na integráciu",$J1247="Integrácia"),"ÁNO","")</f>
        <v/>
      </c>
      <c r="L1247" t="str">
        <f>IF(OR($I1247="Čaká na biznis",$J1247="Biznis",$J1247="Švédsky biznis"),"ÁNO","")</f>
        <v/>
      </c>
      <c r="N1247" s="2"/>
      <c r="O1247" s="3"/>
      <c r="Q1247"/>
      <c r="R1247" s="3"/>
      <c r="S1247" s="3"/>
      <c r="T1247"/>
      <c r="U1247"/>
      <c r="V1247"/>
      <c r="W1247"/>
      <c r="Z1247"/>
      <c r="AA1247"/>
      <c r="AD1247"/>
    </row>
    <row r="1248" spans="11:30" ht="18" customHeight="1">
      <c r="K1248" t="str">
        <f>IF(OR($I1248="Čaká na integráciu",$J1248="Integrácia"),"ÁNO","")</f>
        <v/>
      </c>
      <c r="L1248" t="str">
        <f>IF(OR($I1248="Čaká na biznis",$J1248="Biznis",$J1248="Švédsky biznis"),"ÁNO","")</f>
        <v/>
      </c>
      <c r="N1248" s="2"/>
      <c r="O1248" s="3"/>
      <c r="Q1248"/>
      <c r="R1248" s="3"/>
      <c r="S1248" s="3"/>
      <c r="T1248"/>
      <c r="U1248"/>
      <c r="V1248"/>
      <c r="W1248"/>
      <c r="Z1248"/>
      <c r="AA1248"/>
      <c r="AD1248"/>
    </row>
    <row r="1249" spans="11:30" ht="18" customHeight="1">
      <c r="K1249" t="str">
        <f>IF(OR($I1249="Čaká na integráciu",$J1249="Integrácia"),"ÁNO","")</f>
        <v/>
      </c>
      <c r="L1249" t="str">
        <f>IF(OR($I1249="Čaká na biznis",$J1249="Biznis",$J1249="Švédsky biznis"),"ÁNO","")</f>
        <v/>
      </c>
      <c r="N1249" s="2"/>
      <c r="O1249" s="3"/>
      <c r="Q1249"/>
      <c r="R1249" s="3"/>
      <c r="S1249" s="3"/>
      <c r="T1249"/>
      <c r="U1249"/>
      <c r="V1249"/>
      <c r="W1249"/>
      <c r="Z1249"/>
      <c r="AA1249"/>
      <c r="AD1249"/>
    </row>
    <row r="1250" spans="11:30" ht="18" customHeight="1">
      <c r="K1250" t="str">
        <f>IF(OR($I1250="Čaká na integráciu",$J1250="Integrácia"),"ÁNO","")</f>
        <v/>
      </c>
      <c r="L1250" t="str">
        <f>IF(OR($I1250="Čaká na biznis",$J1250="Biznis",$J1250="Švédsky biznis"),"ÁNO","")</f>
        <v/>
      </c>
      <c r="N1250" s="2"/>
      <c r="O1250" s="3"/>
      <c r="Q1250"/>
      <c r="R1250" s="3"/>
      <c r="S1250" s="3"/>
      <c r="T1250"/>
      <c r="U1250"/>
      <c r="V1250"/>
      <c r="W1250"/>
      <c r="Z1250"/>
      <c r="AA1250"/>
      <c r="AD1250"/>
    </row>
    <row r="1251" spans="11:30" ht="18" customHeight="1">
      <c r="K1251" t="str">
        <f>IF(OR($I1251="Čaká na integráciu",$J1251="Integrácia"),"ÁNO","")</f>
        <v/>
      </c>
      <c r="L1251" t="str">
        <f>IF(OR($I1251="Čaká na biznis",$J1251="Biznis",$J1251="Švédsky biznis"),"ÁNO","")</f>
        <v/>
      </c>
      <c r="N1251" s="2"/>
      <c r="O1251" s="3"/>
      <c r="Q1251"/>
      <c r="R1251" s="3"/>
      <c r="S1251" s="3"/>
      <c r="T1251"/>
      <c r="U1251"/>
      <c r="V1251"/>
      <c r="W1251"/>
      <c r="Z1251"/>
      <c r="AA1251"/>
      <c r="AD1251"/>
    </row>
    <row r="1252" spans="11:30" ht="18" customHeight="1">
      <c r="K1252" t="str">
        <f>IF(OR($I1252="Čaká na integráciu",$J1252="Integrácia"),"ÁNO","")</f>
        <v/>
      </c>
      <c r="L1252" t="str">
        <f>IF(OR($I1252="Čaká na biznis",$J1252="Biznis",$J1252="Švédsky biznis"),"ÁNO","")</f>
        <v/>
      </c>
      <c r="N1252" s="2"/>
      <c r="O1252" s="3"/>
      <c r="Q1252"/>
      <c r="R1252" s="3"/>
      <c r="S1252" s="3"/>
      <c r="T1252"/>
      <c r="U1252"/>
      <c r="V1252"/>
      <c r="W1252"/>
      <c r="Z1252"/>
      <c r="AA1252"/>
      <c r="AD1252"/>
    </row>
    <row r="1253" spans="11:30" ht="18" customHeight="1">
      <c r="K1253" t="str">
        <f>IF(OR($I1253="Čaká na integráciu",$J1253="Integrácia"),"ÁNO","")</f>
        <v/>
      </c>
      <c r="L1253" t="str">
        <f>IF(OR($I1253="Čaká na biznis",$J1253="Biznis",$J1253="Švédsky biznis"),"ÁNO","")</f>
        <v/>
      </c>
      <c r="N1253" s="2"/>
      <c r="O1253" s="3"/>
      <c r="Q1253"/>
      <c r="R1253" s="3"/>
      <c r="S1253" s="3"/>
      <c r="T1253"/>
      <c r="U1253"/>
      <c r="V1253"/>
      <c r="W1253"/>
      <c r="Z1253"/>
      <c r="AA1253"/>
      <c r="AD1253"/>
    </row>
    <row r="1254" spans="11:30" ht="18" customHeight="1">
      <c r="K1254" t="str">
        <f>IF(OR($I1254="Čaká na integráciu",$J1254="Integrácia"),"ÁNO","")</f>
        <v/>
      </c>
      <c r="L1254" t="str">
        <f>IF(OR($I1254="Čaká na biznis",$J1254="Biznis",$J1254="Švédsky biznis"),"ÁNO","")</f>
        <v/>
      </c>
      <c r="N1254" s="2"/>
      <c r="O1254" s="3"/>
      <c r="Q1254"/>
      <c r="R1254" s="3"/>
      <c r="S1254" s="3"/>
      <c r="T1254"/>
      <c r="U1254"/>
      <c r="V1254"/>
      <c r="W1254"/>
      <c r="Z1254"/>
      <c r="AA1254"/>
      <c r="AD1254"/>
    </row>
    <row r="1255" spans="11:30" ht="18" customHeight="1">
      <c r="K1255" t="str">
        <f>IF(OR($I1255="Čaká na integráciu",$J1255="Integrácia"),"ÁNO","")</f>
        <v/>
      </c>
      <c r="L1255" t="str">
        <f>IF(OR($I1255="Čaká na biznis",$J1255="Biznis",$J1255="Švédsky biznis"),"ÁNO","")</f>
        <v/>
      </c>
      <c r="N1255" s="2"/>
      <c r="O1255" s="3"/>
      <c r="Q1255"/>
      <c r="R1255" s="3"/>
      <c r="S1255" s="3"/>
      <c r="T1255"/>
      <c r="U1255"/>
      <c r="V1255"/>
      <c r="W1255"/>
      <c r="Z1255"/>
      <c r="AA1255"/>
      <c r="AD1255"/>
    </row>
    <row r="1256" spans="11:30" ht="18" customHeight="1">
      <c r="K1256" t="str">
        <f>IF(OR($I1256="Čaká na integráciu",$J1256="Integrácia"),"ÁNO","")</f>
        <v/>
      </c>
      <c r="L1256" t="str">
        <f>IF(OR($I1256="Čaká na biznis",$J1256="Biznis",$J1256="Švédsky biznis"),"ÁNO","")</f>
        <v/>
      </c>
      <c r="N1256" s="2"/>
      <c r="O1256" s="3"/>
      <c r="Q1256"/>
      <c r="R1256" s="3"/>
      <c r="S1256" s="3"/>
      <c r="T1256"/>
      <c r="U1256"/>
      <c r="V1256"/>
      <c r="W1256"/>
      <c r="Z1256"/>
      <c r="AA1256"/>
      <c r="AD1256"/>
    </row>
    <row r="1257" spans="11:30" ht="18" customHeight="1">
      <c r="K1257" t="str">
        <f>IF(OR($I1257="Čaká na integráciu",$J1257="Integrácia"),"ÁNO","")</f>
        <v/>
      </c>
      <c r="L1257" t="str">
        <f>IF(OR($I1257="Čaká na biznis",$J1257="Biznis",$J1257="Švédsky biznis"),"ÁNO","")</f>
        <v/>
      </c>
      <c r="N1257" s="2"/>
      <c r="O1257" s="3"/>
      <c r="Q1257"/>
      <c r="R1257" s="3"/>
      <c r="S1257" s="3"/>
      <c r="T1257"/>
      <c r="U1257"/>
      <c r="V1257"/>
      <c r="W1257"/>
      <c r="Z1257"/>
      <c r="AA1257"/>
      <c r="AD1257"/>
    </row>
    <row r="1258" spans="11:30" ht="18" customHeight="1">
      <c r="K1258" t="str">
        <f>IF(OR($I1258="Čaká na integráciu",$J1258="Integrácia"),"ÁNO","")</f>
        <v/>
      </c>
      <c r="L1258" t="str">
        <f>IF(OR($I1258="Čaká na biznis",$J1258="Biznis",$J1258="Švédsky biznis"),"ÁNO","")</f>
        <v/>
      </c>
      <c r="N1258" s="2"/>
      <c r="O1258" s="3"/>
      <c r="Q1258"/>
      <c r="R1258" s="3"/>
      <c r="S1258" s="3"/>
      <c r="T1258"/>
      <c r="U1258"/>
      <c r="V1258"/>
      <c r="W1258"/>
      <c r="Z1258"/>
      <c r="AA1258"/>
      <c r="AD1258"/>
    </row>
    <row r="1259" spans="11:30" ht="18" customHeight="1">
      <c r="K1259" t="str">
        <f>IF(OR($I1259="Čaká na integráciu",$J1259="Integrácia"),"ÁNO","")</f>
        <v/>
      </c>
      <c r="L1259" t="str">
        <f>IF(OR($I1259="Čaká na biznis",$J1259="Biznis",$J1259="Švédsky biznis"),"ÁNO","")</f>
        <v/>
      </c>
      <c r="N1259" s="2"/>
      <c r="O1259" s="3"/>
      <c r="Q1259"/>
      <c r="R1259" s="3"/>
      <c r="S1259" s="3"/>
      <c r="T1259"/>
      <c r="U1259"/>
      <c r="V1259"/>
      <c r="W1259"/>
      <c r="Z1259"/>
      <c r="AA1259"/>
      <c r="AD1259"/>
    </row>
    <row r="1260" spans="11:30" ht="18" customHeight="1">
      <c r="K1260" t="str">
        <f>IF(OR($I1260="Čaká na integráciu",$J1260="Integrácia"),"ÁNO","")</f>
        <v/>
      </c>
      <c r="L1260" t="str">
        <f>IF(OR($I1260="Čaká na biznis",$J1260="Biznis",$J1260="Švédsky biznis"),"ÁNO","")</f>
        <v/>
      </c>
      <c r="N1260" s="2"/>
      <c r="O1260" s="3"/>
      <c r="Q1260"/>
      <c r="R1260" s="3"/>
      <c r="S1260" s="3"/>
      <c r="T1260"/>
      <c r="U1260"/>
      <c r="V1260"/>
      <c r="W1260"/>
      <c r="Z1260"/>
      <c r="AA1260"/>
      <c r="AD1260"/>
    </row>
    <row r="1261" spans="11:30" ht="18" customHeight="1">
      <c r="K1261" t="str">
        <f>IF(OR($I1261="Čaká na integráciu",$J1261="Integrácia"),"ÁNO","")</f>
        <v/>
      </c>
      <c r="L1261" t="str">
        <f>IF(OR($I1261="Čaká na biznis",$J1261="Biznis",$J1261="Švédsky biznis"),"ÁNO","")</f>
        <v/>
      </c>
      <c r="N1261" s="2"/>
      <c r="O1261" s="3"/>
      <c r="Q1261"/>
      <c r="R1261" s="3"/>
      <c r="S1261" s="3"/>
      <c r="T1261"/>
      <c r="U1261"/>
      <c r="V1261"/>
      <c r="W1261"/>
      <c r="Z1261"/>
      <c r="AA1261"/>
      <c r="AD1261"/>
    </row>
    <row r="1262" spans="11:30" ht="18" customHeight="1">
      <c r="K1262" t="str">
        <f>IF(OR($I1262="Čaká na integráciu",$J1262="Integrácia"),"ÁNO","")</f>
        <v/>
      </c>
      <c r="L1262" t="str">
        <f>IF(OR($I1262="Čaká na biznis",$J1262="Biznis",$J1262="Švédsky biznis"),"ÁNO","")</f>
        <v/>
      </c>
      <c r="N1262" s="2"/>
      <c r="O1262" s="3"/>
      <c r="Q1262"/>
      <c r="R1262" s="3"/>
      <c r="S1262" s="3"/>
      <c r="T1262"/>
      <c r="U1262"/>
      <c r="V1262"/>
      <c r="W1262"/>
      <c r="Z1262"/>
      <c r="AA1262"/>
      <c r="AD1262"/>
    </row>
    <row r="1263" spans="11:30" ht="18" customHeight="1">
      <c r="K1263" t="str">
        <f>IF(OR($I1263="Čaká na integráciu",$J1263="Integrácia"),"ÁNO","")</f>
        <v/>
      </c>
      <c r="L1263" t="str">
        <f>IF(OR($I1263="Čaká na biznis",$J1263="Biznis",$J1263="Švédsky biznis"),"ÁNO","")</f>
        <v/>
      </c>
      <c r="N1263" s="2"/>
      <c r="O1263" s="3"/>
      <c r="Q1263"/>
      <c r="R1263" s="3"/>
      <c r="S1263" s="3"/>
      <c r="T1263"/>
      <c r="U1263"/>
      <c r="V1263"/>
      <c r="W1263"/>
      <c r="Z1263"/>
      <c r="AA1263"/>
      <c r="AD1263"/>
    </row>
    <row r="1264" spans="11:30" ht="18" customHeight="1">
      <c r="K1264" t="str">
        <f>IF(OR($I1264="Čaká na integráciu",$J1264="Integrácia"),"ÁNO","")</f>
        <v/>
      </c>
      <c r="L1264" t="str">
        <f>IF(OR($I1264="Čaká na biznis",$J1264="Biznis",$J1264="Švédsky biznis"),"ÁNO","")</f>
        <v/>
      </c>
      <c r="N1264" s="2"/>
      <c r="O1264" s="3"/>
      <c r="Q1264"/>
      <c r="R1264" s="3"/>
      <c r="S1264" s="3"/>
      <c r="T1264"/>
      <c r="U1264"/>
      <c r="V1264"/>
      <c r="W1264"/>
      <c r="Z1264"/>
      <c r="AA1264"/>
      <c r="AD1264"/>
    </row>
    <row r="1265" spans="11:30" ht="18" customHeight="1">
      <c r="K1265" t="str">
        <f>IF(OR($I1265="Čaká na integráciu",$J1265="Integrácia"),"ÁNO","")</f>
        <v/>
      </c>
      <c r="L1265" t="str">
        <f>IF(OR($I1265="Čaká na biznis",$J1265="Biznis",$J1265="Švédsky biznis"),"ÁNO","")</f>
        <v/>
      </c>
      <c r="N1265" s="2"/>
      <c r="O1265" s="3"/>
      <c r="Q1265"/>
      <c r="R1265" s="3"/>
      <c r="S1265" s="3"/>
      <c r="T1265"/>
      <c r="U1265"/>
      <c r="V1265"/>
      <c r="W1265"/>
      <c r="Z1265"/>
      <c r="AA1265"/>
      <c r="AD1265"/>
    </row>
    <row r="1266" spans="11:30" ht="18" customHeight="1">
      <c r="K1266" t="str">
        <f>IF(OR($I1266="Čaká na integráciu",$J1266="Integrácia"),"ÁNO","")</f>
        <v/>
      </c>
      <c r="L1266" t="str">
        <f>IF(OR($I1266="Čaká na biznis",$J1266="Biznis",$J1266="Švédsky biznis"),"ÁNO","")</f>
        <v/>
      </c>
      <c r="N1266" s="2"/>
      <c r="O1266" s="3"/>
      <c r="Q1266"/>
      <c r="R1266" s="3"/>
      <c r="S1266" s="3"/>
      <c r="T1266"/>
      <c r="U1266"/>
      <c r="V1266"/>
      <c r="W1266"/>
      <c r="Z1266"/>
      <c r="AA1266"/>
      <c r="AD1266"/>
    </row>
    <row r="1267" spans="11:30" ht="18" customHeight="1">
      <c r="K1267" t="str">
        <f>IF(OR($I1267="Čaká na integráciu",$J1267="Integrácia"),"ÁNO","")</f>
        <v/>
      </c>
      <c r="L1267" t="str">
        <f>IF(OR($I1267="Čaká na biznis",$J1267="Biznis",$J1267="Švédsky biznis"),"ÁNO","")</f>
        <v/>
      </c>
      <c r="N1267" s="2"/>
      <c r="O1267" s="3"/>
      <c r="Q1267"/>
      <c r="R1267" s="3"/>
      <c r="S1267" s="3"/>
      <c r="T1267"/>
      <c r="U1267"/>
      <c r="V1267"/>
      <c r="W1267"/>
      <c r="Z1267"/>
      <c r="AA1267"/>
      <c r="AD1267"/>
    </row>
    <row r="1268" spans="11:30" ht="18" customHeight="1">
      <c r="K1268" t="str">
        <f>IF(OR($I1268="Čaká na integráciu",$J1268="Integrácia"),"ÁNO","")</f>
        <v/>
      </c>
      <c r="L1268" t="str">
        <f>IF(OR($I1268="Čaká na biznis",$J1268="Biznis",$J1268="Švédsky biznis"),"ÁNO","")</f>
        <v/>
      </c>
      <c r="N1268" s="2"/>
      <c r="O1268" s="3"/>
      <c r="Q1268"/>
      <c r="R1268" s="3"/>
      <c r="S1268" s="3"/>
      <c r="T1268"/>
      <c r="U1268"/>
      <c r="V1268"/>
      <c r="W1268"/>
      <c r="Z1268"/>
      <c r="AA1268"/>
      <c r="AD1268"/>
    </row>
    <row r="1269" spans="11:30" ht="18" customHeight="1">
      <c r="K1269" t="str">
        <f>IF(OR($I1269="Čaká na integráciu",$J1269="Integrácia"),"ÁNO","")</f>
        <v/>
      </c>
      <c r="L1269" t="str">
        <f>IF(OR($I1269="Čaká na biznis",$J1269="Biznis",$J1269="Švédsky biznis"),"ÁNO","")</f>
        <v/>
      </c>
      <c r="N1269" s="2"/>
      <c r="O1269" s="3"/>
      <c r="Q1269"/>
      <c r="R1269" s="3"/>
      <c r="S1269" s="3"/>
      <c r="T1269"/>
      <c r="U1269"/>
      <c r="V1269"/>
      <c r="W1269"/>
      <c r="Z1269"/>
      <c r="AA1269"/>
      <c r="AD1269"/>
    </row>
    <row r="1270" spans="11:30" ht="18" customHeight="1">
      <c r="K1270" t="str">
        <f>IF(OR($I1270="Čaká na integráciu",$J1270="Integrácia"),"ÁNO","")</f>
        <v/>
      </c>
      <c r="L1270" t="str">
        <f>IF(OR($I1270="Čaká na biznis",$J1270="Biznis",$J1270="Švédsky biznis"),"ÁNO","")</f>
        <v/>
      </c>
      <c r="N1270" s="2"/>
      <c r="O1270" s="3"/>
      <c r="Q1270"/>
      <c r="R1270" s="3"/>
      <c r="S1270" s="3"/>
      <c r="T1270"/>
      <c r="U1270"/>
      <c r="V1270"/>
      <c r="W1270"/>
      <c r="Z1270"/>
      <c r="AA1270"/>
      <c r="AD1270"/>
    </row>
    <row r="1271" spans="11:30" ht="18" customHeight="1">
      <c r="K1271" t="str">
        <f>IF(OR($I1271="Čaká na integráciu",$J1271="Integrácia"),"ÁNO","")</f>
        <v/>
      </c>
      <c r="L1271" t="str">
        <f>IF(OR($I1271="Čaká na biznis",$J1271="Biznis",$J1271="Švédsky biznis"),"ÁNO","")</f>
        <v/>
      </c>
      <c r="N1271" s="2"/>
      <c r="O1271" s="3"/>
      <c r="Q1271"/>
      <c r="R1271" s="3"/>
      <c r="S1271" s="3"/>
      <c r="T1271"/>
      <c r="U1271"/>
      <c r="V1271"/>
      <c r="W1271"/>
      <c r="Z1271"/>
      <c r="AA1271"/>
      <c r="AD1271"/>
    </row>
    <row r="1272" spans="11:30" ht="18" customHeight="1">
      <c r="K1272" t="str">
        <f>IF(OR($I1272="Čaká na integráciu",$J1272="Integrácia"),"ÁNO","")</f>
        <v/>
      </c>
      <c r="L1272" t="str">
        <f>IF(OR($I1272="Čaká na biznis",$J1272="Biznis",$J1272="Švédsky biznis"),"ÁNO","")</f>
        <v/>
      </c>
      <c r="N1272" s="2"/>
      <c r="O1272" s="3"/>
      <c r="Q1272"/>
      <c r="R1272" s="3"/>
      <c r="S1272" s="3"/>
      <c r="T1272"/>
      <c r="U1272"/>
      <c r="V1272"/>
      <c r="W1272"/>
      <c r="Z1272"/>
      <c r="AA1272"/>
      <c r="AD1272"/>
    </row>
    <row r="1273" spans="11:30" ht="18" customHeight="1">
      <c r="K1273" t="str">
        <f>IF(OR($I1273="Čaká na integráciu",$J1273="Integrácia"),"ÁNO","")</f>
        <v/>
      </c>
      <c r="L1273" t="str">
        <f>IF(OR($I1273="Čaká na biznis",$J1273="Biznis",$J1273="Švédsky biznis"),"ÁNO","")</f>
        <v/>
      </c>
      <c r="N1273" s="2"/>
      <c r="O1273" s="3"/>
      <c r="Q1273"/>
      <c r="R1273" s="3"/>
      <c r="S1273" s="3"/>
      <c r="T1273"/>
      <c r="U1273"/>
      <c r="V1273"/>
      <c r="W1273"/>
      <c r="Z1273"/>
      <c r="AA1273"/>
      <c r="AD1273"/>
    </row>
    <row r="1274" spans="11:30" ht="18" customHeight="1">
      <c r="K1274" t="str">
        <f>IF(OR($I1274="Čaká na integráciu",$J1274="Integrácia"),"ÁNO","")</f>
        <v/>
      </c>
      <c r="L1274" t="str">
        <f>IF(OR($I1274="Čaká na biznis",$J1274="Biznis",$J1274="Švédsky biznis"),"ÁNO","")</f>
        <v/>
      </c>
      <c r="N1274" s="2"/>
      <c r="O1274" s="3"/>
      <c r="Q1274"/>
      <c r="R1274" s="3"/>
      <c r="S1274" s="3"/>
      <c r="T1274"/>
      <c r="U1274"/>
      <c r="V1274"/>
      <c r="W1274"/>
      <c r="Z1274"/>
      <c r="AA1274"/>
      <c r="AD1274"/>
    </row>
    <row r="1275" spans="11:30" ht="18" customHeight="1">
      <c r="K1275" t="str">
        <f>IF(OR($I1275="Čaká na integráciu",$J1275="Integrácia"),"ÁNO","")</f>
        <v/>
      </c>
      <c r="L1275" t="str">
        <f>IF(OR($I1275="Čaká na biznis",$J1275="Biznis",$J1275="Švédsky biznis"),"ÁNO","")</f>
        <v/>
      </c>
      <c r="N1275" s="2"/>
      <c r="O1275" s="3"/>
      <c r="Q1275"/>
      <c r="R1275" s="3"/>
      <c r="S1275" s="3"/>
      <c r="T1275"/>
      <c r="U1275"/>
      <c r="V1275"/>
      <c r="W1275"/>
      <c r="Z1275"/>
      <c r="AA1275"/>
      <c r="AD1275"/>
    </row>
    <row r="1276" spans="11:30" ht="18" customHeight="1">
      <c r="K1276" t="str">
        <f>IF(OR($I1276="Čaká na integráciu",$J1276="Integrácia"),"ÁNO","")</f>
        <v/>
      </c>
      <c r="L1276" t="str">
        <f>IF(OR($I1276="Čaká na biznis",$J1276="Biznis",$J1276="Švédsky biznis"),"ÁNO","")</f>
        <v/>
      </c>
      <c r="N1276" s="2"/>
      <c r="O1276" s="3"/>
      <c r="Q1276"/>
      <c r="R1276" s="3"/>
      <c r="S1276" s="3"/>
      <c r="T1276"/>
      <c r="U1276"/>
      <c r="V1276"/>
      <c r="W1276"/>
      <c r="Z1276"/>
      <c r="AA1276"/>
      <c r="AD1276"/>
    </row>
    <row r="1277" spans="11:30" ht="18" customHeight="1">
      <c r="K1277" t="str">
        <f>IF(OR($I1277="Čaká na integráciu",$J1277="Integrácia"),"ÁNO","")</f>
        <v/>
      </c>
      <c r="L1277" t="str">
        <f>IF(OR($I1277="Čaká na biznis",$J1277="Biznis",$J1277="Švédsky biznis"),"ÁNO","")</f>
        <v/>
      </c>
      <c r="N1277" s="2"/>
      <c r="O1277" s="3"/>
      <c r="Q1277"/>
      <c r="R1277" s="3"/>
      <c r="S1277" s="3"/>
      <c r="T1277"/>
      <c r="U1277"/>
      <c r="V1277"/>
      <c r="W1277"/>
      <c r="Z1277"/>
      <c r="AA1277"/>
      <c r="AD1277"/>
    </row>
    <row r="1278" spans="11:30" ht="18" customHeight="1">
      <c r="K1278" t="str">
        <f>IF(OR($I1278="Čaká na integráciu",$J1278="Integrácia"),"ÁNO","")</f>
        <v/>
      </c>
      <c r="L1278" t="str">
        <f>IF(OR($I1278="Čaká na biznis",$J1278="Biznis",$J1278="Švédsky biznis"),"ÁNO","")</f>
        <v/>
      </c>
      <c r="N1278" s="2"/>
      <c r="O1278" s="3"/>
      <c r="Q1278"/>
      <c r="R1278" s="3"/>
      <c r="S1278" s="3"/>
      <c r="T1278"/>
      <c r="U1278"/>
      <c r="V1278"/>
      <c r="W1278"/>
      <c r="Z1278"/>
      <c r="AA1278"/>
      <c r="AD1278"/>
    </row>
    <row r="1279" spans="11:30" ht="18" customHeight="1">
      <c r="K1279" t="str">
        <f>IF(OR($I1279="Čaká na integráciu",$J1279="Integrácia"),"ÁNO","")</f>
        <v/>
      </c>
      <c r="L1279" t="str">
        <f>IF(OR($I1279="Čaká na biznis",$J1279="Biznis",$J1279="Švédsky biznis"),"ÁNO","")</f>
        <v/>
      </c>
      <c r="N1279" s="2"/>
      <c r="O1279" s="3"/>
      <c r="Q1279"/>
      <c r="R1279" s="3"/>
      <c r="S1279" s="3"/>
      <c r="T1279"/>
      <c r="U1279"/>
      <c r="V1279"/>
      <c r="W1279"/>
      <c r="Z1279"/>
      <c r="AA1279"/>
      <c r="AD1279"/>
    </row>
    <row r="1280" spans="11:30" ht="18" customHeight="1">
      <c r="K1280" t="str">
        <f>IF(OR($I1280="Čaká na integráciu",$J1280="Integrácia"),"ÁNO","")</f>
        <v/>
      </c>
      <c r="L1280" t="str">
        <f>IF(OR($I1280="Čaká na biznis",$J1280="Biznis",$J1280="Švédsky biznis"),"ÁNO","")</f>
        <v/>
      </c>
      <c r="N1280" s="2"/>
      <c r="O1280" s="3"/>
      <c r="Q1280"/>
      <c r="R1280" s="3"/>
      <c r="S1280" s="3"/>
      <c r="T1280"/>
      <c r="U1280"/>
      <c r="V1280"/>
      <c r="W1280"/>
      <c r="Z1280"/>
      <c r="AA1280"/>
      <c r="AD1280"/>
    </row>
    <row r="1281" spans="11:30" ht="18" customHeight="1">
      <c r="K1281" t="str">
        <f>IF(OR($I1281="Čaká na integráciu",$J1281="Integrácia"),"ÁNO","")</f>
        <v/>
      </c>
      <c r="L1281" t="str">
        <f>IF(OR($I1281="Čaká na biznis",$J1281="Biznis",$J1281="Švédsky biznis"),"ÁNO","")</f>
        <v/>
      </c>
      <c r="N1281" s="2"/>
      <c r="O1281" s="3"/>
      <c r="Q1281"/>
      <c r="R1281" s="3"/>
      <c r="S1281" s="3"/>
      <c r="T1281"/>
      <c r="U1281"/>
      <c r="V1281"/>
      <c r="W1281"/>
      <c r="Z1281"/>
      <c r="AA1281"/>
      <c r="AD1281"/>
    </row>
    <row r="1282" spans="11:30" ht="18" customHeight="1">
      <c r="K1282" t="str">
        <f>IF(OR($I1282="Čaká na integráciu",$J1282="Integrácia"),"ÁNO","")</f>
        <v/>
      </c>
      <c r="L1282" t="str">
        <f>IF(OR($I1282="Čaká na biznis",$J1282="Biznis",$J1282="Švédsky biznis"),"ÁNO","")</f>
        <v/>
      </c>
      <c r="N1282" s="2"/>
      <c r="O1282" s="3"/>
      <c r="Q1282"/>
      <c r="R1282" s="3"/>
      <c r="S1282" s="3"/>
      <c r="T1282"/>
      <c r="U1282"/>
      <c r="V1282"/>
      <c r="W1282"/>
      <c r="Z1282"/>
      <c r="AA1282"/>
      <c r="AD1282"/>
    </row>
    <row r="1283" spans="11:30" ht="18" customHeight="1">
      <c r="K1283" t="str">
        <f>IF(OR($I1283="Čaká na integráciu",$J1283="Integrácia"),"ÁNO","")</f>
        <v/>
      </c>
      <c r="L1283" t="str">
        <f>IF(OR($I1283="Čaká na biznis",$J1283="Biznis",$J1283="Švédsky biznis"),"ÁNO","")</f>
        <v/>
      </c>
      <c r="N1283" s="2"/>
      <c r="O1283" s="3"/>
      <c r="Q1283"/>
      <c r="R1283" s="3"/>
      <c r="S1283" s="3"/>
      <c r="T1283"/>
      <c r="U1283"/>
      <c r="V1283"/>
      <c r="W1283"/>
      <c r="Z1283"/>
      <c r="AA1283"/>
      <c r="AD1283"/>
    </row>
    <row r="1284" spans="11:30" ht="18" customHeight="1">
      <c r="K1284" t="str">
        <f>IF(OR($I1284="Čaká na integráciu",$J1284="Integrácia"),"ÁNO","")</f>
        <v/>
      </c>
      <c r="L1284" t="str">
        <f>IF(OR($I1284="Čaká na biznis",$J1284="Biznis",$J1284="Švédsky biznis"),"ÁNO","")</f>
        <v/>
      </c>
      <c r="N1284" s="2"/>
      <c r="O1284" s="3"/>
      <c r="Q1284"/>
      <c r="R1284" s="3"/>
      <c r="S1284" s="3"/>
      <c r="T1284"/>
      <c r="U1284"/>
      <c r="V1284"/>
      <c r="W1284"/>
      <c r="Z1284"/>
      <c r="AA1284"/>
      <c r="AD1284"/>
    </row>
    <row r="1285" spans="11:30" ht="18" customHeight="1">
      <c r="K1285" t="str">
        <f>IF(OR($I1285="Čaká na integráciu",$J1285="Integrácia"),"ÁNO","")</f>
        <v/>
      </c>
      <c r="L1285" t="str">
        <f>IF(OR($I1285="Čaká na biznis",$J1285="Biznis",$J1285="Švédsky biznis"),"ÁNO","")</f>
        <v/>
      </c>
      <c r="N1285" s="2"/>
      <c r="O1285" s="3"/>
      <c r="Q1285"/>
      <c r="R1285" s="3"/>
      <c r="S1285" s="3"/>
      <c r="T1285"/>
      <c r="U1285"/>
      <c r="V1285"/>
      <c r="W1285"/>
      <c r="Z1285"/>
      <c r="AA1285"/>
      <c r="AD1285"/>
    </row>
    <row r="1286" spans="11:30" ht="18" customHeight="1">
      <c r="K1286" t="str">
        <f>IF(OR($I1286="Čaká na integráciu",$J1286="Integrácia"),"ÁNO","")</f>
        <v/>
      </c>
      <c r="L1286" t="str">
        <f>IF(OR($I1286="Čaká na biznis",$J1286="Biznis",$J1286="Švédsky biznis"),"ÁNO","")</f>
        <v/>
      </c>
      <c r="N1286" s="2"/>
      <c r="O1286" s="3"/>
      <c r="Q1286"/>
      <c r="R1286" s="3"/>
      <c r="S1286" s="3"/>
      <c r="T1286"/>
      <c r="U1286"/>
      <c r="V1286"/>
      <c r="W1286"/>
      <c r="Z1286"/>
      <c r="AA1286"/>
      <c r="AD1286"/>
    </row>
    <row r="1287" spans="11:30" ht="18" customHeight="1">
      <c r="K1287" t="str">
        <f>IF(OR($I1287="Čaká na integráciu",$J1287="Integrácia"),"ÁNO","")</f>
        <v/>
      </c>
      <c r="L1287" t="str">
        <f>IF(OR($I1287="Čaká na biznis",$J1287="Biznis",$J1287="Švédsky biznis"),"ÁNO","")</f>
        <v/>
      </c>
      <c r="N1287" s="2"/>
      <c r="O1287" s="3"/>
      <c r="Q1287"/>
      <c r="R1287" s="3"/>
      <c r="S1287" s="3"/>
      <c r="T1287"/>
      <c r="U1287"/>
      <c r="V1287"/>
      <c r="W1287"/>
      <c r="Z1287"/>
      <c r="AA1287"/>
      <c r="AD1287"/>
    </row>
    <row r="1288" spans="11:30" ht="18" customHeight="1">
      <c r="K1288" t="str">
        <f>IF(OR($I1288="Čaká na integráciu",$J1288="Integrácia"),"ÁNO","")</f>
        <v/>
      </c>
      <c r="L1288" t="str">
        <f>IF(OR($I1288="Čaká na biznis",$J1288="Biznis",$J1288="Švédsky biznis"),"ÁNO","")</f>
        <v/>
      </c>
      <c r="N1288" s="2"/>
      <c r="O1288" s="3"/>
      <c r="Q1288"/>
      <c r="R1288" s="3"/>
      <c r="S1288" s="3"/>
      <c r="T1288"/>
      <c r="U1288"/>
      <c r="V1288"/>
      <c r="W1288"/>
      <c r="Z1288"/>
      <c r="AA1288"/>
      <c r="AD1288"/>
    </row>
    <row r="1289" spans="11:30" ht="18" customHeight="1">
      <c r="K1289" t="str">
        <f>IF(OR($I1289="Čaká na integráciu",$J1289="Integrácia"),"ÁNO","")</f>
        <v/>
      </c>
      <c r="L1289" t="str">
        <f>IF(OR($I1289="Čaká na biznis",$J1289="Biznis",$J1289="Švédsky biznis"),"ÁNO","")</f>
        <v/>
      </c>
      <c r="N1289" s="2"/>
      <c r="O1289" s="3"/>
      <c r="Q1289"/>
      <c r="R1289" s="3"/>
      <c r="S1289" s="3"/>
      <c r="T1289"/>
      <c r="U1289"/>
      <c r="V1289"/>
      <c r="W1289"/>
      <c r="Z1289"/>
      <c r="AA1289"/>
      <c r="AD1289"/>
    </row>
    <row r="1290" spans="11:30" ht="18" customHeight="1">
      <c r="K1290" t="str">
        <f>IF(OR($I1290="Čaká na integráciu",$J1290="Integrácia"),"ÁNO","")</f>
        <v/>
      </c>
      <c r="L1290" t="str">
        <f>IF(OR($I1290="Čaká na biznis",$J1290="Biznis",$J1290="Švédsky biznis"),"ÁNO","")</f>
        <v/>
      </c>
      <c r="N1290" s="2"/>
      <c r="O1290" s="3"/>
      <c r="Q1290"/>
      <c r="R1290" s="3"/>
      <c r="S1290" s="3"/>
      <c r="T1290"/>
      <c r="U1290"/>
      <c r="V1290"/>
      <c r="W1290"/>
      <c r="Z1290"/>
      <c r="AA1290"/>
      <c r="AD1290"/>
    </row>
    <row r="1291" spans="11:30" ht="18" customHeight="1">
      <c r="K1291" t="str">
        <f>IF(OR($I1291="Čaká na integráciu",$J1291="Integrácia"),"ÁNO","")</f>
        <v/>
      </c>
      <c r="L1291" t="str">
        <f>IF(OR($I1291="Čaká na biznis",$J1291="Biznis",$J1291="Švédsky biznis"),"ÁNO","")</f>
        <v/>
      </c>
      <c r="N1291" s="2"/>
      <c r="O1291" s="3"/>
      <c r="Q1291"/>
      <c r="R1291" s="3"/>
      <c r="S1291" s="3"/>
      <c r="T1291"/>
      <c r="U1291"/>
      <c r="V1291"/>
      <c r="W1291"/>
      <c r="Z1291"/>
      <c r="AA1291"/>
      <c r="AD1291"/>
    </row>
    <row r="1292" spans="11:30" ht="18" customHeight="1">
      <c r="K1292" t="str">
        <f>IF(OR($I1292="Čaká na integráciu",$J1292="Integrácia"),"ÁNO","")</f>
        <v/>
      </c>
      <c r="L1292" t="str">
        <f>IF(OR($I1292="Čaká na biznis",$J1292="Biznis",$J1292="Švédsky biznis"),"ÁNO","")</f>
        <v/>
      </c>
      <c r="N1292" s="2"/>
      <c r="O1292" s="3"/>
      <c r="Q1292"/>
      <c r="R1292" s="3"/>
      <c r="S1292" s="3"/>
      <c r="T1292"/>
      <c r="U1292"/>
      <c r="V1292"/>
      <c r="W1292"/>
      <c r="Z1292"/>
      <c r="AA1292"/>
      <c r="AD1292"/>
    </row>
    <row r="1293" spans="11:30" ht="18" customHeight="1">
      <c r="K1293" t="str">
        <f>IF(OR($I1293="Čaká na integráciu",$J1293="Integrácia"),"ÁNO","")</f>
        <v/>
      </c>
      <c r="L1293" t="str">
        <f>IF(OR($I1293="Čaká na biznis",$J1293="Biznis",$J1293="Švédsky biznis"),"ÁNO","")</f>
        <v/>
      </c>
      <c r="N1293" s="2"/>
      <c r="O1293" s="3"/>
      <c r="Q1293"/>
      <c r="R1293" s="3"/>
      <c r="S1293" s="3"/>
      <c r="T1293"/>
      <c r="U1293"/>
      <c r="V1293"/>
      <c r="W1293"/>
      <c r="Z1293"/>
      <c r="AA1293"/>
      <c r="AD1293"/>
    </row>
    <row r="1294" spans="11:30" ht="18" customHeight="1">
      <c r="K1294" t="str">
        <f>IF(OR($I1294="Čaká na integráciu",$J1294="Integrácia"),"ÁNO","")</f>
        <v/>
      </c>
      <c r="L1294" t="str">
        <f>IF(OR($I1294="Čaká na biznis",$J1294="Biznis",$J1294="Švédsky biznis"),"ÁNO","")</f>
        <v/>
      </c>
      <c r="N1294" s="2"/>
      <c r="O1294" s="3"/>
      <c r="Q1294"/>
      <c r="R1294" s="3"/>
      <c r="S1294" s="3"/>
      <c r="T1294"/>
      <c r="U1294"/>
      <c r="V1294"/>
      <c r="W1294"/>
      <c r="Z1294"/>
      <c r="AA1294"/>
      <c r="AD1294"/>
    </row>
    <row r="1295" spans="11:30" ht="18" customHeight="1">
      <c r="K1295" t="str">
        <f>IF(OR($I1295="Čaká na integráciu",$J1295="Integrácia"),"ÁNO","")</f>
        <v/>
      </c>
      <c r="L1295" t="str">
        <f>IF(OR($I1295="Čaká na biznis",$J1295="Biznis",$J1295="Švédsky biznis"),"ÁNO","")</f>
        <v/>
      </c>
      <c r="N1295" s="2"/>
      <c r="O1295" s="3"/>
      <c r="Q1295"/>
      <c r="R1295" s="3"/>
      <c r="S1295" s="3"/>
      <c r="T1295"/>
      <c r="U1295"/>
      <c r="V1295"/>
      <c r="W1295"/>
      <c r="Z1295"/>
      <c r="AA1295"/>
      <c r="AD1295"/>
    </row>
    <row r="1296" spans="11:30" ht="18" customHeight="1">
      <c r="K1296" t="str">
        <f>IF(OR($I1296="Čaká na integráciu",$J1296="Integrácia"),"ÁNO","")</f>
        <v/>
      </c>
      <c r="L1296" t="str">
        <f>IF(OR($I1296="Čaká na biznis",$J1296="Biznis",$J1296="Švédsky biznis"),"ÁNO","")</f>
        <v/>
      </c>
      <c r="N1296" s="2"/>
      <c r="O1296" s="3"/>
      <c r="Q1296"/>
      <c r="R1296" s="3"/>
      <c r="S1296" s="3"/>
      <c r="T1296"/>
      <c r="U1296"/>
      <c r="V1296"/>
      <c r="W1296"/>
      <c r="Z1296"/>
      <c r="AA1296"/>
      <c r="AD1296"/>
    </row>
    <row r="1297" spans="11:30" ht="18" customHeight="1">
      <c r="K1297" t="str">
        <f>IF(OR($I1297="Čaká na integráciu",$J1297="Integrácia"),"ÁNO","")</f>
        <v/>
      </c>
      <c r="L1297" t="str">
        <f>IF(OR($I1297="Čaká na biznis",$J1297="Biznis",$J1297="Švédsky biznis"),"ÁNO","")</f>
        <v/>
      </c>
      <c r="N1297" s="2"/>
      <c r="O1297" s="3"/>
      <c r="Q1297"/>
      <c r="R1297" s="3"/>
      <c r="S1297" s="3"/>
      <c r="T1297"/>
      <c r="U1297"/>
      <c r="V1297"/>
      <c r="W1297"/>
      <c r="Z1297"/>
      <c r="AA1297"/>
      <c r="AD1297"/>
    </row>
    <row r="1298" spans="11:30" ht="18" customHeight="1">
      <c r="K1298" t="str">
        <f>IF(OR($I1298="Čaká na integráciu",$J1298="Integrácia"),"ÁNO","")</f>
        <v/>
      </c>
      <c r="L1298" t="str">
        <f>IF(OR($I1298="Čaká na biznis",$J1298="Biznis",$J1298="Švédsky biznis"),"ÁNO","")</f>
        <v/>
      </c>
      <c r="N1298" s="2"/>
      <c r="O1298" s="3"/>
      <c r="Q1298"/>
      <c r="R1298" s="3"/>
      <c r="S1298" s="3"/>
      <c r="T1298"/>
      <c r="U1298"/>
      <c r="V1298"/>
      <c r="W1298"/>
      <c r="Z1298"/>
      <c r="AA1298"/>
      <c r="AD1298"/>
    </row>
    <row r="1299" spans="11:30" ht="18" customHeight="1">
      <c r="K1299" t="str">
        <f>IF(OR($I1299="Čaká na integráciu",$J1299="Integrácia"),"ÁNO","")</f>
        <v/>
      </c>
      <c r="L1299" t="str">
        <f>IF(OR($I1299="Čaká na biznis",$J1299="Biznis",$J1299="Švédsky biznis"),"ÁNO","")</f>
        <v/>
      </c>
      <c r="N1299" s="2"/>
      <c r="O1299" s="3"/>
      <c r="Q1299"/>
      <c r="R1299" s="3"/>
      <c r="S1299" s="3"/>
      <c r="T1299"/>
      <c r="U1299"/>
      <c r="V1299"/>
      <c r="W1299"/>
      <c r="Z1299"/>
      <c r="AA1299"/>
      <c r="AD1299"/>
    </row>
    <row r="1300" spans="11:30" ht="18" customHeight="1">
      <c r="K1300" t="str">
        <f>IF(OR($I1300="Čaká na integráciu",$J1300="Integrácia"),"ÁNO","")</f>
        <v/>
      </c>
      <c r="L1300" t="str">
        <f>IF(OR($I1300="Čaká na biznis",$J1300="Biznis",$J1300="Švédsky biznis"),"ÁNO","")</f>
        <v/>
      </c>
      <c r="N1300" s="2"/>
      <c r="O1300" s="3"/>
      <c r="Q1300"/>
      <c r="R1300" s="3"/>
      <c r="S1300" s="3"/>
      <c r="T1300"/>
      <c r="U1300"/>
      <c r="V1300"/>
      <c r="W1300"/>
      <c r="Z1300"/>
      <c r="AA1300"/>
      <c r="AD1300"/>
    </row>
    <row r="1301" spans="11:30" ht="18" customHeight="1">
      <c r="K1301" t="str">
        <f>IF(OR($I1301="Čaká na integráciu",$J1301="Integrácia"),"ÁNO","")</f>
        <v/>
      </c>
      <c r="L1301" t="str">
        <f>IF(OR($I1301="Čaká na biznis",$J1301="Biznis",$J1301="Švédsky biznis"),"ÁNO","")</f>
        <v/>
      </c>
      <c r="N1301" s="2"/>
      <c r="O1301" s="3"/>
      <c r="Q1301"/>
      <c r="R1301" s="3"/>
      <c r="S1301" s="3"/>
      <c r="T1301"/>
      <c r="U1301"/>
      <c r="V1301"/>
      <c r="W1301"/>
      <c r="Z1301"/>
      <c r="AA1301"/>
      <c r="AD1301"/>
    </row>
    <row r="1302" spans="11:30" ht="18" customHeight="1">
      <c r="K1302" t="str">
        <f>IF(OR($I1302="Čaká na integráciu",$J1302="Integrácia"),"ÁNO","")</f>
        <v/>
      </c>
      <c r="L1302" t="str">
        <f>IF(OR($I1302="Čaká na biznis",$J1302="Biznis",$J1302="Švédsky biznis"),"ÁNO","")</f>
        <v/>
      </c>
      <c r="N1302" s="2"/>
      <c r="O1302" s="3"/>
      <c r="Q1302"/>
      <c r="R1302" s="3"/>
      <c r="S1302" s="3"/>
      <c r="T1302"/>
      <c r="U1302"/>
      <c r="V1302"/>
      <c r="W1302"/>
      <c r="Z1302"/>
      <c r="AA1302"/>
      <c r="AD1302"/>
    </row>
    <row r="1303" spans="11:30" ht="18" customHeight="1">
      <c r="K1303" t="str">
        <f>IF(OR($I1303="Čaká na integráciu",$J1303="Integrácia"),"ÁNO","")</f>
        <v/>
      </c>
      <c r="L1303" t="str">
        <f>IF(OR($I1303="Čaká na biznis",$J1303="Biznis",$J1303="Švédsky biznis"),"ÁNO","")</f>
        <v/>
      </c>
      <c r="N1303" s="2"/>
      <c r="O1303" s="3"/>
      <c r="Q1303"/>
      <c r="R1303" s="3"/>
      <c r="S1303" s="3"/>
      <c r="T1303"/>
      <c r="U1303"/>
      <c r="V1303"/>
      <c r="W1303"/>
      <c r="Z1303"/>
      <c r="AA1303"/>
      <c r="AD1303"/>
    </row>
    <row r="1304" spans="11:30" ht="18" customHeight="1">
      <c r="K1304" t="str">
        <f>IF(OR($I1304="Čaká na integráciu",$J1304="Integrácia"),"ÁNO","")</f>
        <v/>
      </c>
      <c r="L1304" t="str">
        <f>IF(OR($I1304="Čaká na biznis",$J1304="Biznis",$J1304="Švédsky biznis"),"ÁNO","")</f>
        <v/>
      </c>
      <c r="N1304" s="2"/>
      <c r="O1304" s="3"/>
      <c r="Q1304"/>
      <c r="R1304" s="3"/>
      <c r="S1304" s="3"/>
      <c r="T1304"/>
      <c r="U1304"/>
      <c r="V1304"/>
      <c r="W1304"/>
      <c r="Z1304"/>
      <c r="AA1304"/>
      <c r="AD1304"/>
    </row>
    <row r="1305" spans="11:30" ht="18" customHeight="1">
      <c r="K1305" t="str">
        <f>IF(OR($I1305="Čaká na integráciu",$J1305="Integrácia"),"ÁNO","")</f>
        <v/>
      </c>
      <c r="L1305" t="str">
        <f>IF(OR($I1305="Čaká na biznis",$J1305="Biznis",$J1305="Švédsky biznis"),"ÁNO","")</f>
        <v/>
      </c>
      <c r="N1305" s="2"/>
      <c r="O1305" s="3"/>
      <c r="Q1305"/>
      <c r="R1305" s="3"/>
      <c r="S1305" s="3"/>
      <c r="T1305"/>
      <c r="U1305"/>
      <c r="V1305"/>
      <c r="W1305"/>
      <c r="Z1305"/>
      <c r="AA1305"/>
      <c r="AD1305"/>
    </row>
    <row r="1306" spans="11:30" ht="18" customHeight="1">
      <c r="K1306" t="str">
        <f>IF(OR($I1306="Čaká na integráciu",$J1306="Integrácia"),"ÁNO","")</f>
        <v/>
      </c>
      <c r="L1306" t="str">
        <f>IF(OR($I1306="Čaká na biznis",$J1306="Biznis",$J1306="Švédsky biznis"),"ÁNO","")</f>
        <v/>
      </c>
      <c r="N1306" s="2"/>
      <c r="O1306" s="3"/>
      <c r="Q1306"/>
      <c r="R1306" s="3"/>
      <c r="S1306" s="3"/>
      <c r="T1306"/>
      <c r="U1306"/>
      <c r="V1306"/>
      <c r="W1306"/>
      <c r="Z1306"/>
      <c r="AA1306"/>
      <c r="AD1306"/>
    </row>
    <row r="1307" spans="11:30" ht="18" customHeight="1">
      <c r="K1307" t="str">
        <f>IF(OR($I1307="Čaká na integráciu",$J1307="Integrácia"),"ÁNO","")</f>
        <v/>
      </c>
      <c r="L1307" t="str">
        <f>IF(OR($I1307="Čaká na biznis",$J1307="Biznis",$J1307="Švédsky biznis"),"ÁNO","")</f>
        <v/>
      </c>
      <c r="N1307" s="2"/>
      <c r="O1307" s="3"/>
      <c r="Q1307"/>
      <c r="R1307" s="3"/>
      <c r="S1307" s="3"/>
      <c r="T1307"/>
      <c r="U1307"/>
      <c r="V1307"/>
      <c r="W1307"/>
      <c r="Z1307"/>
      <c r="AA1307"/>
      <c r="AD1307"/>
    </row>
    <row r="1308" spans="11:30" ht="18" customHeight="1">
      <c r="K1308" t="str">
        <f>IF(OR($I1308="Čaká na integráciu",$J1308="Integrácia"),"ÁNO","")</f>
        <v/>
      </c>
      <c r="L1308" t="str">
        <f>IF(OR($I1308="Čaká na biznis",$J1308="Biznis",$J1308="Švédsky biznis"),"ÁNO","")</f>
        <v/>
      </c>
      <c r="N1308" s="2"/>
      <c r="O1308" s="3"/>
      <c r="Q1308"/>
      <c r="R1308" s="3"/>
      <c r="S1308" s="3"/>
      <c r="T1308"/>
      <c r="U1308"/>
      <c r="V1308"/>
      <c r="W1308"/>
      <c r="Z1308"/>
      <c r="AA1308"/>
      <c r="AD1308"/>
    </row>
    <row r="1309" spans="11:30" ht="18" customHeight="1">
      <c r="K1309" t="str">
        <f>IF(OR($I1309="Čaká na integráciu",$J1309="Integrácia"),"ÁNO","")</f>
        <v/>
      </c>
      <c r="L1309" t="str">
        <f>IF(OR($I1309="Čaká na biznis",$J1309="Biznis",$J1309="Švédsky biznis"),"ÁNO","")</f>
        <v/>
      </c>
      <c r="N1309" s="2"/>
      <c r="O1309" s="3"/>
      <c r="Q1309"/>
      <c r="R1309" s="3"/>
      <c r="S1309" s="3"/>
      <c r="T1309"/>
      <c r="U1309"/>
      <c r="V1309"/>
      <c r="W1309"/>
      <c r="Z1309"/>
      <c r="AA1309"/>
      <c r="AD1309"/>
    </row>
    <row r="1310" spans="11:30" ht="18" customHeight="1">
      <c r="K1310" t="str">
        <f>IF(OR($I1310="Čaká na integráciu",$J1310="Integrácia"),"ÁNO","")</f>
        <v/>
      </c>
      <c r="L1310" t="str">
        <f>IF(OR($I1310="Čaká na biznis",$J1310="Biznis",$J1310="Švédsky biznis"),"ÁNO","")</f>
        <v/>
      </c>
      <c r="N1310" s="2"/>
      <c r="O1310" s="3"/>
      <c r="Q1310"/>
      <c r="R1310" s="3"/>
      <c r="S1310" s="3"/>
      <c r="T1310"/>
      <c r="U1310"/>
      <c r="V1310"/>
      <c r="W1310"/>
      <c r="Z1310"/>
      <c r="AA1310"/>
      <c r="AD1310"/>
    </row>
    <row r="1311" spans="11:30" ht="18" customHeight="1">
      <c r="K1311" t="str">
        <f>IF(OR($I1311="Čaká na integráciu",$J1311="Integrácia"),"ÁNO","")</f>
        <v/>
      </c>
      <c r="L1311" t="str">
        <f>IF(OR($I1311="Čaká na biznis",$J1311="Biznis",$J1311="Švédsky biznis"),"ÁNO","")</f>
        <v/>
      </c>
      <c r="N1311" s="2"/>
      <c r="O1311" s="3"/>
      <c r="Q1311"/>
      <c r="R1311" s="3"/>
      <c r="S1311" s="3"/>
      <c r="T1311"/>
      <c r="U1311"/>
      <c r="V1311"/>
      <c r="W1311"/>
      <c r="Z1311"/>
      <c r="AA1311"/>
      <c r="AD1311"/>
    </row>
    <row r="1312" spans="11:30" ht="18" customHeight="1">
      <c r="K1312" t="str">
        <f>IF(OR($I1312="Čaká na integráciu",$J1312="Integrácia"),"ÁNO","")</f>
        <v/>
      </c>
      <c r="L1312" t="str">
        <f>IF(OR($I1312="Čaká na biznis",$J1312="Biznis",$J1312="Švédsky biznis"),"ÁNO","")</f>
        <v/>
      </c>
      <c r="N1312" s="2"/>
      <c r="O1312" s="3"/>
      <c r="Q1312"/>
      <c r="R1312" s="3"/>
      <c r="S1312" s="3"/>
      <c r="T1312"/>
      <c r="U1312"/>
      <c r="V1312"/>
      <c r="W1312"/>
      <c r="Z1312"/>
      <c r="AA1312"/>
      <c r="AD1312"/>
    </row>
    <row r="1313" spans="11:30" ht="18" customHeight="1">
      <c r="K1313" t="str">
        <f>IF(OR($I1313="Čaká na integráciu",$J1313="Integrácia"),"ÁNO","")</f>
        <v/>
      </c>
      <c r="L1313" t="str">
        <f>IF(OR($I1313="Čaká na biznis",$J1313="Biznis",$J1313="Švédsky biznis"),"ÁNO","")</f>
        <v/>
      </c>
      <c r="N1313" s="2"/>
      <c r="O1313" s="3"/>
      <c r="Q1313"/>
      <c r="R1313" s="3"/>
      <c r="S1313" s="3"/>
      <c r="T1313"/>
      <c r="U1313"/>
      <c r="V1313"/>
      <c r="W1313"/>
      <c r="Z1313"/>
      <c r="AA1313"/>
      <c r="AD1313"/>
    </row>
    <row r="1314" spans="11:30" ht="18" customHeight="1">
      <c r="K1314" t="str">
        <f>IF(OR($I1314="Čaká na integráciu",$J1314="Integrácia"),"ÁNO","")</f>
        <v/>
      </c>
      <c r="L1314" t="str">
        <f>IF(OR($I1314="Čaká na biznis",$J1314="Biznis",$J1314="Švédsky biznis"),"ÁNO","")</f>
        <v/>
      </c>
      <c r="N1314" s="2"/>
      <c r="O1314" s="3"/>
      <c r="Q1314"/>
      <c r="R1314" s="3"/>
      <c r="S1314" s="3"/>
      <c r="T1314"/>
      <c r="U1314"/>
      <c r="V1314"/>
      <c r="W1314"/>
      <c r="Z1314"/>
      <c r="AA1314"/>
      <c r="AD1314"/>
    </row>
    <row r="1315" spans="11:30" ht="18" customHeight="1">
      <c r="K1315" t="str">
        <f>IF(OR($I1315="Čaká na integráciu",$J1315="Integrácia"),"ÁNO","")</f>
        <v/>
      </c>
      <c r="L1315" t="str">
        <f>IF(OR($I1315="Čaká na biznis",$J1315="Biznis",$J1315="Švédsky biznis"),"ÁNO","")</f>
        <v/>
      </c>
      <c r="N1315" s="2"/>
      <c r="O1315" s="3"/>
      <c r="Q1315"/>
      <c r="R1315" s="3"/>
      <c r="S1315" s="3"/>
      <c r="T1315"/>
      <c r="U1315"/>
      <c r="V1315"/>
      <c r="W1315"/>
      <c r="Z1315"/>
      <c r="AA1315"/>
      <c r="AD1315"/>
    </row>
    <row r="1316" spans="11:30" ht="18" customHeight="1">
      <c r="K1316" t="str">
        <f>IF(OR($I1316="Čaká na integráciu",$J1316="Integrácia"),"ÁNO","")</f>
        <v/>
      </c>
      <c r="L1316" t="str">
        <f>IF(OR($I1316="Čaká na biznis",$J1316="Biznis",$J1316="Švédsky biznis"),"ÁNO","")</f>
        <v/>
      </c>
      <c r="N1316" s="2"/>
      <c r="O1316" s="3"/>
      <c r="Q1316"/>
      <c r="R1316" s="3"/>
      <c r="S1316" s="3"/>
      <c r="T1316"/>
      <c r="U1316"/>
      <c r="V1316"/>
      <c r="W1316"/>
      <c r="Z1316"/>
      <c r="AA1316"/>
      <c r="AD1316"/>
    </row>
    <row r="1317" spans="11:30" ht="18" customHeight="1">
      <c r="K1317" t="str">
        <f>IF(OR($I1317="Čaká na integráciu",$J1317="Integrácia"),"ÁNO","")</f>
        <v/>
      </c>
      <c r="L1317" t="str">
        <f>IF(OR($I1317="Čaká na biznis",$J1317="Biznis",$J1317="Švédsky biznis"),"ÁNO","")</f>
        <v/>
      </c>
      <c r="N1317" s="2"/>
      <c r="O1317" s="3"/>
      <c r="Q1317"/>
      <c r="R1317" s="3"/>
      <c r="S1317" s="3"/>
      <c r="T1317"/>
      <c r="U1317"/>
      <c r="V1317"/>
      <c r="W1317"/>
      <c r="Z1317"/>
      <c r="AA1317"/>
      <c r="AD1317"/>
    </row>
    <row r="1318" spans="11:30" ht="18" customHeight="1">
      <c r="K1318" t="str">
        <f>IF(OR($I1318="Čaká na integráciu",$J1318="Integrácia"),"ÁNO","")</f>
        <v/>
      </c>
      <c r="L1318" t="str">
        <f>IF(OR($I1318="Čaká na biznis",$J1318="Biznis",$J1318="Švédsky biznis"),"ÁNO","")</f>
        <v/>
      </c>
      <c r="N1318" s="2"/>
      <c r="O1318" s="3"/>
      <c r="Q1318"/>
      <c r="R1318" s="3"/>
      <c r="S1318" s="3"/>
      <c r="T1318"/>
      <c r="U1318"/>
      <c r="V1318"/>
      <c r="W1318"/>
      <c r="Z1318"/>
      <c r="AA1318"/>
      <c r="AD1318"/>
    </row>
    <row r="1319" spans="11:30" ht="18" customHeight="1">
      <c r="K1319" t="str">
        <f>IF(OR($I1319="Čaká na integráciu",$J1319="Integrácia"),"ÁNO","")</f>
        <v/>
      </c>
      <c r="L1319" t="str">
        <f>IF(OR($I1319="Čaká na biznis",$J1319="Biznis",$J1319="Švédsky biznis"),"ÁNO","")</f>
        <v/>
      </c>
      <c r="N1319" s="2"/>
      <c r="O1319" s="3"/>
      <c r="Q1319"/>
      <c r="R1319" s="3"/>
      <c r="S1319" s="3"/>
      <c r="T1319"/>
      <c r="U1319"/>
      <c r="V1319"/>
      <c r="W1319"/>
      <c r="Z1319"/>
      <c r="AA1319"/>
      <c r="AD1319"/>
    </row>
    <row r="1320" spans="11:30" ht="18" customHeight="1">
      <c r="K1320" t="str">
        <f>IF(OR($I1320="Čaká na integráciu",$J1320="Integrácia"),"ÁNO","")</f>
        <v/>
      </c>
      <c r="L1320" t="str">
        <f>IF(OR($I1320="Čaká na biznis",$J1320="Biznis",$J1320="Švédsky biznis"),"ÁNO","")</f>
        <v/>
      </c>
      <c r="N1320" s="2"/>
      <c r="O1320" s="3"/>
      <c r="Q1320"/>
      <c r="R1320" s="3"/>
      <c r="S1320" s="3"/>
      <c r="T1320"/>
      <c r="U1320"/>
      <c r="V1320"/>
      <c r="W1320"/>
      <c r="Z1320"/>
      <c r="AA1320"/>
      <c r="AD1320"/>
    </row>
    <row r="1321" spans="11:30" ht="18" customHeight="1">
      <c r="K1321" t="str">
        <f>IF(OR($I1321="Čaká na integráciu",$J1321="Integrácia"),"ÁNO","")</f>
        <v/>
      </c>
      <c r="L1321" t="str">
        <f>IF(OR($I1321="Čaká na biznis",$J1321="Biznis",$J1321="Švédsky biznis"),"ÁNO","")</f>
        <v/>
      </c>
      <c r="N1321" s="2"/>
      <c r="O1321" s="3"/>
      <c r="Q1321"/>
      <c r="R1321" s="3"/>
      <c r="S1321" s="3"/>
      <c r="T1321"/>
      <c r="U1321"/>
      <c r="V1321"/>
      <c r="W1321"/>
      <c r="Z1321"/>
      <c r="AA1321"/>
      <c r="AD1321"/>
    </row>
    <row r="1322" spans="11:30" ht="18" customHeight="1">
      <c r="K1322" t="str">
        <f>IF(OR($I1322="Čaká na integráciu",$J1322="Integrácia"),"ÁNO","")</f>
        <v/>
      </c>
      <c r="L1322" t="str">
        <f>IF(OR($I1322="Čaká na biznis",$J1322="Biznis",$J1322="Švédsky biznis"),"ÁNO","")</f>
        <v/>
      </c>
      <c r="N1322" s="2"/>
      <c r="O1322" s="3"/>
      <c r="Q1322"/>
      <c r="R1322" s="3"/>
      <c r="S1322" s="3"/>
      <c r="T1322"/>
      <c r="U1322"/>
      <c r="V1322"/>
      <c r="W1322"/>
      <c r="Z1322"/>
      <c r="AA1322"/>
      <c r="AD1322"/>
    </row>
    <row r="1323" spans="11:30" ht="18" customHeight="1">
      <c r="K1323" t="str">
        <f>IF(OR($I1323="Čaká na integráciu",$J1323="Integrácia"),"ÁNO","")</f>
        <v/>
      </c>
      <c r="L1323" t="str">
        <f>IF(OR($I1323="Čaká na biznis",$J1323="Biznis",$J1323="Švédsky biznis"),"ÁNO","")</f>
        <v/>
      </c>
      <c r="N1323" s="2"/>
      <c r="O1323" s="3"/>
      <c r="Q1323"/>
      <c r="R1323" s="3"/>
      <c r="S1323" s="3"/>
      <c r="T1323"/>
      <c r="U1323"/>
      <c r="V1323"/>
      <c r="W1323"/>
      <c r="Z1323"/>
      <c r="AA1323"/>
      <c r="AD1323"/>
    </row>
    <row r="1324" spans="11:30" ht="18" customHeight="1">
      <c r="K1324" t="str">
        <f>IF(OR($I1324="Čaká na integráciu",$J1324="Integrácia"),"ÁNO","")</f>
        <v/>
      </c>
      <c r="L1324" t="str">
        <f>IF(OR($I1324="Čaká na biznis",$J1324="Biznis",$J1324="Švédsky biznis"),"ÁNO","")</f>
        <v/>
      </c>
      <c r="N1324" s="2"/>
      <c r="O1324" s="3"/>
      <c r="Q1324"/>
      <c r="R1324" s="3"/>
      <c r="S1324" s="3"/>
      <c r="T1324"/>
      <c r="U1324"/>
      <c r="V1324"/>
      <c r="W1324"/>
      <c r="Z1324"/>
      <c r="AA1324"/>
      <c r="AD1324"/>
    </row>
    <row r="1325" spans="11:30" ht="18" customHeight="1">
      <c r="K1325" t="str">
        <f>IF(OR($I1325="Čaká na integráciu",$J1325="Integrácia"),"ÁNO","")</f>
        <v/>
      </c>
      <c r="L1325" t="str">
        <f>IF(OR($I1325="Čaká na biznis",$J1325="Biznis",$J1325="Švédsky biznis"),"ÁNO","")</f>
        <v/>
      </c>
      <c r="N1325" s="2"/>
      <c r="O1325" s="3"/>
      <c r="Q1325"/>
      <c r="R1325" s="3"/>
      <c r="S1325" s="3"/>
      <c r="T1325"/>
      <c r="U1325"/>
      <c r="V1325"/>
      <c r="W1325"/>
      <c r="Z1325"/>
      <c r="AA1325"/>
      <c r="AD1325"/>
    </row>
    <row r="1326" spans="11:30" ht="18" customHeight="1">
      <c r="K1326" t="str">
        <f>IF(OR($I1326="Čaká na integráciu",$J1326="Integrácia"),"ÁNO","")</f>
        <v/>
      </c>
      <c r="L1326" t="str">
        <f>IF(OR($I1326="Čaká na biznis",$J1326="Biznis",$J1326="Švédsky biznis"),"ÁNO","")</f>
        <v/>
      </c>
      <c r="N1326" s="2"/>
      <c r="O1326" s="3"/>
      <c r="Q1326"/>
      <c r="R1326" s="3"/>
      <c r="S1326" s="3"/>
      <c r="T1326"/>
      <c r="U1326"/>
      <c r="V1326"/>
      <c r="W1326"/>
      <c r="Z1326"/>
      <c r="AA1326"/>
      <c r="AD1326"/>
    </row>
    <row r="1327" spans="11:30" ht="18" customHeight="1">
      <c r="K1327" t="str">
        <f>IF(OR($I1327="Čaká na integráciu",$J1327="Integrácia"),"ÁNO","")</f>
        <v/>
      </c>
      <c r="L1327" t="str">
        <f>IF(OR($I1327="Čaká na biznis",$J1327="Biznis",$J1327="Švédsky biznis"),"ÁNO","")</f>
        <v/>
      </c>
      <c r="N1327" s="2"/>
      <c r="O1327" s="3"/>
      <c r="Q1327"/>
      <c r="R1327" s="3"/>
      <c r="S1327" s="3"/>
      <c r="T1327"/>
      <c r="U1327"/>
      <c r="V1327"/>
      <c r="W1327"/>
      <c r="Z1327"/>
      <c r="AA1327"/>
      <c r="AD1327"/>
    </row>
    <row r="1328" spans="11:30" ht="18" customHeight="1">
      <c r="K1328" t="str">
        <f>IF(OR($I1328="Čaká na integráciu",$J1328="Integrácia"),"ÁNO","")</f>
        <v/>
      </c>
      <c r="L1328" t="str">
        <f>IF(OR($I1328="Čaká na biznis",$J1328="Biznis",$J1328="Švédsky biznis"),"ÁNO","")</f>
        <v/>
      </c>
      <c r="N1328" s="2"/>
      <c r="O1328" s="3"/>
      <c r="Q1328"/>
      <c r="R1328" s="3"/>
      <c r="S1328" s="3"/>
      <c r="T1328"/>
      <c r="U1328"/>
      <c r="V1328"/>
      <c r="W1328"/>
      <c r="Z1328"/>
      <c r="AA1328"/>
      <c r="AD1328"/>
    </row>
    <row r="1329" spans="11:30" ht="18" customHeight="1">
      <c r="K1329" t="str">
        <f>IF(OR($I1329="Čaká na integráciu",$J1329="Integrácia"),"ÁNO","")</f>
        <v/>
      </c>
      <c r="L1329" t="str">
        <f>IF(OR($I1329="Čaká na biznis",$J1329="Biznis",$J1329="Švédsky biznis"),"ÁNO","")</f>
        <v/>
      </c>
      <c r="N1329" s="2"/>
      <c r="O1329" s="3"/>
      <c r="Q1329"/>
      <c r="R1329" s="3"/>
      <c r="S1329" s="3"/>
      <c r="T1329"/>
      <c r="U1329"/>
      <c r="V1329"/>
      <c r="W1329"/>
      <c r="Z1329"/>
      <c r="AA1329"/>
      <c r="AD1329"/>
    </row>
    <row r="1330" spans="11:30" ht="18" customHeight="1">
      <c r="K1330" t="str">
        <f>IF(OR($I1330="Čaká na integráciu",$J1330="Integrácia"),"ÁNO","")</f>
        <v/>
      </c>
      <c r="L1330" t="str">
        <f>IF(OR($I1330="Čaká na biznis",$J1330="Biznis",$J1330="Švédsky biznis"),"ÁNO","")</f>
        <v/>
      </c>
      <c r="N1330" s="2"/>
      <c r="O1330" s="3"/>
      <c r="Q1330"/>
      <c r="R1330" s="3"/>
      <c r="S1330" s="3"/>
      <c r="T1330"/>
      <c r="U1330"/>
      <c r="V1330"/>
      <c r="W1330"/>
      <c r="Z1330"/>
      <c r="AA1330"/>
      <c r="AD1330"/>
    </row>
    <row r="1331" spans="11:30" ht="18" customHeight="1">
      <c r="K1331" t="str">
        <f>IF(OR($I1331="Čaká na integráciu",$J1331="Integrácia"),"ÁNO","")</f>
        <v/>
      </c>
      <c r="L1331" t="str">
        <f>IF(OR($I1331="Čaká na biznis",$J1331="Biznis",$J1331="Švédsky biznis"),"ÁNO","")</f>
        <v/>
      </c>
      <c r="N1331" s="2"/>
      <c r="O1331" s="3"/>
      <c r="Q1331"/>
      <c r="R1331" s="3"/>
      <c r="S1331" s="3"/>
      <c r="T1331"/>
      <c r="U1331"/>
      <c r="V1331"/>
      <c r="W1331"/>
      <c r="Z1331"/>
      <c r="AA1331"/>
      <c r="AD1331"/>
    </row>
    <row r="1332" spans="11:30" ht="18" customHeight="1">
      <c r="K1332" t="str">
        <f>IF(OR($I1332="Čaká na integráciu",$J1332="Integrácia"),"ÁNO","")</f>
        <v/>
      </c>
      <c r="L1332" t="str">
        <f>IF(OR($I1332="Čaká na biznis",$J1332="Biznis",$J1332="Švédsky biznis"),"ÁNO","")</f>
        <v/>
      </c>
      <c r="N1332" s="2"/>
      <c r="O1332" s="3"/>
      <c r="Q1332"/>
      <c r="R1332" s="3"/>
      <c r="S1332" s="3"/>
      <c r="T1332"/>
      <c r="U1332"/>
      <c r="V1332"/>
      <c r="W1332"/>
      <c r="Z1332"/>
      <c r="AA1332"/>
      <c r="AD1332"/>
    </row>
    <row r="1333" spans="11:30" ht="18" customHeight="1">
      <c r="K1333" t="str">
        <f>IF(OR($I1333="Čaká na integráciu",$J1333="Integrácia"),"ÁNO","")</f>
        <v/>
      </c>
      <c r="L1333" t="str">
        <f>IF(OR($I1333="Čaká na biznis",$J1333="Biznis",$J1333="Švédsky biznis"),"ÁNO","")</f>
        <v/>
      </c>
      <c r="N1333" s="2"/>
      <c r="O1333" s="3"/>
      <c r="Q1333"/>
      <c r="R1333" s="3"/>
      <c r="S1333" s="3"/>
      <c r="T1333"/>
      <c r="U1333"/>
      <c r="V1333"/>
      <c r="W1333"/>
      <c r="Z1333"/>
      <c r="AA1333"/>
      <c r="AD1333"/>
    </row>
    <row r="1334" spans="11:30" ht="18" customHeight="1">
      <c r="K1334" t="str">
        <f>IF(OR($I1334="Čaká na integráciu",$J1334="Integrácia"),"ÁNO","")</f>
        <v/>
      </c>
      <c r="L1334" t="str">
        <f>IF(OR($I1334="Čaká na biznis",$J1334="Biznis",$J1334="Švédsky biznis"),"ÁNO","")</f>
        <v/>
      </c>
      <c r="N1334" s="2"/>
      <c r="O1334" s="3"/>
      <c r="Q1334"/>
      <c r="R1334" s="3"/>
      <c r="S1334" s="3"/>
      <c r="T1334"/>
      <c r="U1334"/>
      <c r="V1334"/>
      <c r="W1334"/>
      <c r="Z1334"/>
      <c r="AA1334"/>
      <c r="AD1334"/>
    </row>
    <row r="1335" spans="11:30" ht="18" customHeight="1">
      <c r="K1335" t="str">
        <f>IF(OR($I1335="Čaká na integráciu",$J1335="Integrácia"),"ÁNO","")</f>
        <v/>
      </c>
      <c r="L1335" t="str">
        <f>IF(OR($I1335="Čaká na biznis",$J1335="Biznis",$J1335="Švédsky biznis"),"ÁNO","")</f>
        <v/>
      </c>
      <c r="N1335" s="2"/>
      <c r="O1335" s="3"/>
      <c r="Q1335"/>
      <c r="R1335" s="3"/>
      <c r="S1335" s="3"/>
      <c r="T1335"/>
      <c r="U1335"/>
      <c r="V1335"/>
      <c r="W1335"/>
      <c r="Z1335"/>
      <c r="AA1335"/>
      <c r="AD1335"/>
    </row>
    <row r="1336" spans="11:30" ht="18" customHeight="1">
      <c r="K1336" t="str">
        <f>IF(OR($I1336="Čaká na integráciu",$J1336="Integrácia"),"ÁNO","")</f>
        <v/>
      </c>
      <c r="L1336" t="str">
        <f>IF(OR($I1336="Čaká na biznis",$J1336="Biznis",$J1336="Švédsky biznis"),"ÁNO","")</f>
        <v/>
      </c>
      <c r="N1336" s="2"/>
      <c r="O1336" s="3"/>
      <c r="Q1336"/>
      <c r="R1336" s="3"/>
      <c r="S1336" s="3"/>
      <c r="T1336"/>
      <c r="U1336"/>
      <c r="V1336"/>
      <c r="W1336"/>
      <c r="Z1336"/>
      <c r="AA1336"/>
      <c r="AD1336"/>
    </row>
    <row r="1337" spans="11:30" ht="18" customHeight="1">
      <c r="K1337" t="str">
        <f>IF(OR($I1337="Čaká na integráciu",$J1337="Integrácia"),"ÁNO","")</f>
        <v/>
      </c>
      <c r="L1337" t="str">
        <f>IF(OR($I1337="Čaká na biznis",$J1337="Biznis",$J1337="Švédsky biznis"),"ÁNO","")</f>
        <v/>
      </c>
      <c r="N1337" s="2"/>
      <c r="O1337" s="3"/>
      <c r="Q1337"/>
      <c r="R1337" s="3"/>
      <c r="S1337" s="3"/>
      <c r="T1337"/>
      <c r="U1337"/>
      <c r="V1337"/>
      <c r="W1337"/>
      <c r="Z1337"/>
      <c r="AA1337"/>
      <c r="AD1337"/>
    </row>
    <row r="1338" spans="11:30" ht="18" customHeight="1">
      <c r="K1338" t="str">
        <f>IF(OR($I1338="Čaká na integráciu",$J1338="Integrácia"),"ÁNO","")</f>
        <v/>
      </c>
      <c r="L1338" t="str">
        <f>IF(OR($I1338="Čaká na biznis",$J1338="Biznis",$J1338="Švédsky biznis"),"ÁNO","")</f>
        <v/>
      </c>
      <c r="N1338" s="2"/>
      <c r="O1338" s="3"/>
      <c r="Q1338"/>
      <c r="R1338" s="3"/>
      <c r="S1338" s="3"/>
      <c r="T1338"/>
      <c r="U1338"/>
      <c r="V1338"/>
      <c r="W1338"/>
      <c r="Z1338"/>
      <c r="AA1338"/>
      <c r="AD1338"/>
    </row>
    <row r="1339" spans="11:30" ht="18" customHeight="1">
      <c r="K1339" t="str">
        <f>IF(OR($I1339="Čaká na integráciu",$J1339="Integrácia"),"ÁNO","")</f>
        <v/>
      </c>
      <c r="L1339" t="str">
        <f>IF(OR($I1339="Čaká na biznis",$J1339="Biznis",$J1339="Švédsky biznis"),"ÁNO","")</f>
        <v/>
      </c>
      <c r="N1339" s="2"/>
      <c r="O1339" s="3"/>
      <c r="Q1339"/>
      <c r="R1339" s="3"/>
      <c r="S1339" s="3"/>
      <c r="T1339"/>
      <c r="U1339"/>
      <c r="V1339"/>
      <c r="W1339"/>
      <c r="Z1339"/>
      <c r="AA1339"/>
      <c r="AD1339"/>
    </row>
    <row r="1340" spans="11:30" ht="18" customHeight="1">
      <c r="K1340" t="str">
        <f>IF(OR($I1340="Čaká na integráciu",$J1340="Integrácia"),"ÁNO","")</f>
        <v/>
      </c>
      <c r="L1340" t="str">
        <f>IF(OR($I1340="Čaká na biznis",$J1340="Biznis",$J1340="Švédsky biznis"),"ÁNO","")</f>
        <v/>
      </c>
      <c r="N1340" s="2"/>
      <c r="O1340" s="3"/>
      <c r="Q1340"/>
      <c r="R1340" s="3"/>
      <c r="S1340" s="3"/>
      <c r="T1340"/>
      <c r="U1340"/>
      <c r="V1340"/>
      <c r="W1340"/>
      <c r="Z1340"/>
      <c r="AA1340"/>
      <c r="AD1340"/>
    </row>
    <row r="1341" spans="11:30" ht="18" customHeight="1">
      <c r="K1341" t="str">
        <f>IF(OR($I1341="Čaká na integráciu",$J1341="Integrácia"),"ÁNO","")</f>
        <v/>
      </c>
      <c r="L1341" t="str">
        <f>IF(OR($I1341="Čaká na biznis",$J1341="Biznis",$J1341="Švédsky biznis"),"ÁNO","")</f>
        <v/>
      </c>
      <c r="N1341" s="2"/>
      <c r="O1341" s="3"/>
      <c r="Q1341"/>
      <c r="R1341" s="3"/>
      <c r="S1341" s="3"/>
      <c r="T1341"/>
      <c r="U1341"/>
      <c r="V1341"/>
      <c r="W1341"/>
      <c r="Z1341"/>
      <c r="AA1341"/>
      <c r="AD1341"/>
    </row>
    <row r="1342" spans="11:30" ht="18" customHeight="1">
      <c r="K1342" t="str">
        <f>IF(OR($I1342="Čaká na integráciu",$J1342="Integrácia"),"ÁNO","")</f>
        <v/>
      </c>
      <c r="L1342" t="str">
        <f>IF(OR($I1342="Čaká na biznis",$J1342="Biznis",$J1342="Švédsky biznis"),"ÁNO","")</f>
        <v/>
      </c>
      <c r="N1342" s="2"/>
      <c r="O1342" s="3"/>
      <c r="Q1342"/>
      <c r="R1342" s="3"/>
      <c r="S1342" s="3"/>
      <c r="T1342"/>
      <c r="U1342"/>
      <c r="V1342"/>
      <c r="W1342"/>
      <c r="Z1342"/>
      <c r="AA1342"/>
      <c r="AD1342"/>
    </row>
    <row r="1343" spans="11:30" ht="18" customHeight="1">
      <c r="K1343" t="str">
        <f>IF(OR($I1343="Čaká na integráciu",$J1343="Integrácia"),"ÁNO","")</f>
        <v/>
      </c>
      <c r="L1343" t="str">
        <f>IF(OR($I1343="Čaká na biznis",$J1343="Biznis",$J1343="Švédsky biznis"),"ÁNO","")</f>
        <v/>
      </c>
      <c r="N1343" s="2"/>
      <c r="O1343" s="3"/>
      <c r="Q1343"/>
      <c r="R1343" s="3"/>
      <c r="S1343" s="3"/>
      <c r="T1343"/>
      <c r="U1343"/>
      <c r="V1343"/>
      <c r="W1343"/>
      <c r="Z1343"/>
      <c r="AA1343"/>
      <c r="AD1343"/>
    </row>
    <row r="1344" spans="11:30" ht="18" customHeight="1">
      <c r="K1344" t="str">
        <f>IF(OR($I1344="Čaká na integráciu",$J1344="Integrácia"),"ÁNO","")</f>
        <v/>
      </c>
      <c r="L1344" t="str">
        <f>IF(OR($I1344="Čaká na biznis",$J1344="Biznis",$J1344="Švédsky biznis"),"ÁNO","")</f>
        <v/>
      </c>
      <c r="N1344" s="2"/>
      <c r="O1344" s="3"/>
      <c r="Q1344"/>
      <c r="R1344" s="3"/>
      <c r="S1344" s="3"/>
      <c r="T1344"/>
      <c r="U1344"/>
      <c r="V1344"/>
      <c r="W1344"/>
      <c r="Z1344"/>
      <c r="AA1344"/>
      <c r="AD1344"/>
    </row>
    <row r="1345" spans="11:30" ht="18" customHeight="1">
      <c r="K1345" t="str">
        <f>IF(OR($I1345="Čaká na integráciu",$J1345="Integrácia"),"ÁNO","")</f>
        <v/>
      </c>
      <c r="L1345" t="str">
        <f>IF(OR($I1345="Čaká na biznis",$J1345="Biznis",$J1345="Švédsky biznis"),"ÁNO","")</f>
        <v/>
      </c>
      <c r="N1345" s="2"/>
      <c r="O1345" s="3"/>
      <c r="Q1345"/>
      <c r="R1345" s="3"/>
      <c r="S1345" s="3"/>
      <c r="T1345"/>
      <c r="U1345"/>
      <c r="V1345"/>
      <c r="W1345"/>
      <c r="Z1345"/>
      <c r="AA1345"/>
      <c r="AD1345"/>
    </row>
    <row r="1346" spans="11:30" ht="18" customHeight="1">
      <c r="K1346" t="str">
        <f>IF(OR($I1346="Čaká na integráciu",$J1346="Integrácia"),"ÁNO","")</f>
        <v/>
      </c>
      <c r="L1346" t="str">
        <f>IF(OR($I1346="Čaká na biznis",$J1346="Biznis",$J1346="Švédsky biznis"),"ÁNO","")</f>
        <v/>
      </c>
      <c r="N1346" s="2"/>
      <c r="O1346" s="3"/>
      <c r="Q1346"/>
      <c r="R1346" s="3"/>
      <c r="S1346" s="3"/>
      <c r="T1346"/>
      <c r="U1346"/>
      <c r="V1346"/>
      <c r="W1346"/>
      <c r="Z1346"/>
      <c r="AA1346"/>
      <c r="AD1346"/>
    </row>
    <row r="1347" spans="11:30" ht="18" customHeight="1">
      <c r="K1347" t="str">
        <f>IF(OR($I1347="Čaká na integráciu",$J1347="Integrácia"),"ÁNO","")</f>
        <v/>
      </c>
      <c r="L1347" t="str">
        <f>IF(OR($I1347="Čaká na biznis",$J1347="Biznis",$J1347="Švédsky biznis"),"ÁNO","")</f>
        <v/>
      </c>
      <c r="N1347" s="2"/>
      <c r="O1347" s="3"/>
      <c r="Q1347"/>
      <c r="R1347" s="3"/>
      <c r="S1347" s="3"/>
      <c r="T1347"/>
      <c r="U1347"/>
      <c r="V1347"/>
      <c r="W1347"/>
      <c r="Z1347"/>
      <c r="AA1347"/>
      <c r="AD1347"/>
    </row>
    <row r="1348" spans="11:30" ht="18" customHeight="1">
      <c r="K1348" t="str">
        <f>IF(OR($I1348="Čaká na integráciu",$J1348="Integrácia"),"ÁNO","")</f>
        <v/>
      </c>
      <c r="L1348" t="str">
        <f>IF(OR($I1348="Čaká na biznis",$J1348="Biznis",$J1348="Švédsky biznis"),"ÁNO","")</f>
        <v/>
      </c>
      <c r="N1348" s="2"/>
      <c r="O1348" s="3"/>
      <c r="Q1348"/>
      <c r="R1348" s="3"/>
      <c r="S1348" s="3"/>
      <c r="T1348"/>
      <c r="U1348"/>
      <c r="V1348"/>
      <c r="W1348"/>
      <c r="Z1348"/>
      <c r="AA1348"/>
      <c r="AD1348"/>
    </row>
    <row r="1349" spans="11:30" ht="18" customHeight="1">
      <c r="K1349" t="str">
        <f>IF(OR($I1349="Čaká na integráciu",$J1349="Integrácia"),"ÁNO","")</f>
        <v/>
      </c>
      <c r="L1349" t="str">
        <f>IF(OR($I1349="Čaká na biznis",$J1349="Biznis",$J1349="Švédsky biznis"),"ÁNO","")</f>
        <v/>
      </c>
      <c r="N1349" s="2"/>
      <c r="O1349" s="3"/>
      <c r="Q1349"/>
      <c r="R1349" s="3"/>
      <c r="S1349" s="3"/>
      <c r="T1349"/>
      <c r="U1349"/>
      <c r="V1349"/>
      <c r="W1349"/>
      <c r="Z1349"/>
      <c r="AA1349"/>
      <c r="AD1349"/>
    </row>
    <row r="1350" spans="11:30" ht="18" customHeight="1">
      <c r="K1350" t="str">
        <f>IF(OR($I1350="Čaká na integráciu",$J1350="Integrácia"),"ÁNO","")</f>
        <v/>
      </c>
      <c r="L1350" t="str">
        <f>IF(OR($I1350="Čaká na biznis",$J1350="Biznis",$J1350="Švédsky biznis"),"ÁNO","")</f>
        <v/>
      </c>
      <c r="N1350" s="2"/>
      <c r="O1350" s="3"/>
      <c r="Q1350"/>
      <c r="R1350" s="3"/>
      <c r="S1350" s="3"/>
      <c r="T1350"/>
      <c r="U1350"/>
      <c r="V1350"/>
      <c r="W1350"/>
      <c r="Z1350"/>
      <c r="AA1350"/>
      <c r="AD1350"/>
    </row>
    <row r="1351" spans="11:30" ht="18" customHeight="1">
      <c r="K1351" t="str">
        <f>IF(OR($I1351="Čaká na integráciu",$J1351="Integrácia"),"ÁNO","")</f>
        <v/>
      </c>
      <c r="L1351" t="str">
        <f>IF(OR($I1351="Čaká na biznis",$J1351="Biznis",$J1351="Švédsky biznis"),"ÁNO","")</f>
        <v/>
      </c>
      <c r="N1351" s="2"/>
      <c r="O1351" s="3"/>
      <c r="Q1351"/>
      <c r="R1351" s="3"/>
      <c r="S1351" s="3"/>
      <c r="T1351"/>
      <c r="U1351"/>
      <c r="V1351"/>
      <c r="W1351"/>
      <c r="Z1351"/>
      <c r="AA1351"/>
      <c r="AD1351"/>
    </row>
    <row r="1352" spans="11:30" ht="18" customHeight="1">
      <c r="K1352" t="str">
        <f>IF(OR($I1352="Čaká na integráciu",$J1352="Integrácia"),"ÁNO","")</f>
        <v/>
      </c>
      <c r="L1352" t="str">
        <f>IF(OR($I1352="Čaká na biznis",$J1352="Biznis",$J1352="Švédsky biznis"),"ÁNO","")</f>
        <v/>
      </c>
      <c r="N1352" s="2"/>
      <c r="O1352" s="3"/>
      <c r="Q1352"/>
      <c r="R1352" s="3"/>
      <c r="S1352" s="3"/>
      <c r="T1352"/>
      <c r="U1352"/>
      <c r="V1352"/>
      <c r="W1352"/>
      <c r="Z1352"/>
      <c r="AA1352"/>
      <c r="AD1352"/>
    </row>
    <row r="1353" spans="11:30" ht="18" customHeight="1">
      <c r="K1353" t="str">
        <f>IF(OR($I1353="Čaká na integráciu",$J1353="Integrácia"),"ÁNO","")</f>
        <v/>
      </c>
      <c r="L1353" t="str">
        <f>IF(OR($I1353="Čaká na biznis",$J1353="Biznis",$J1353="Švédsky biznis"),"ÁNO","")</f>
        <v/>
      </c>
      <c r="N1353" s="2"/>
      <c r="O1353" s="3"/>
      <c r="Q1353"/>
      <c r="R1353" s="3"/>
      <c r="S1353" s="3"/>
      <c r="T1353"/>
      <c r="U1353"/>
      <c r="V1353"/>
      <c r="W1353"/>
      <c r="Z1353"/>
      <c r="AA1353"/>
      <c r="AD1353"/>
    </row>
    <row r="1354" spans="11:30" ht="18" customHeight="1">
      <c r="K1354" t="str">
        <f>IF(OR($I1354="Čaká na integráciu",$J1354="Integrácia"),"ÁNO","")</f>
        <v/>
      </c>
      <c r="L1354" t="str">
        <f>IF(OR($I1354="Čaká na biznis",$J1354="Biznis",$J1354="Švédsky biznis"),"ÁNO","")</f>
        <v/>
      </c>
      <c r="N1354" s="2"/>
      <c r="O1354" s="3"/>
      <c r="Q1354"/>
      <c r="R1354" s="3"/>
      <c r="S1354" s="3"/>
      <c r="T1354"/>
      <c r="U1354"/>
      <c r="V1354"/>
      <c r="W1354"/>
      <c r="Z1354"/>
      <c r="AA1354"/>
      <c r="AD1354"/>
    </row>
    <row r="1355" spans="11:30" ht="18" customHeight="1">
      <c r="K1355" t="str">
        <f>IF(OR($I1355="Čaká na integráciu",$J1355="Integrácia"),"ÁNO","")</f>
        <v/>
      </c>
      <c r="L1355" t="str">
        <f>IF(OR($I1355="Čaká na biznis",$J1355="Biznis",$J1355="Švédsky biznis"),"ÁNO","")</f>
        <v/>
      </c>
      <c r="N1355" s="2"/>
      <c r="O1355" s="3"/>
      <c r="Q1355"/>
      <c r="R1355" s="3"/>
      <c r="S1355" s="3"/>
      <c r="T1355"/>
      <c r="U1355"/>
      <c r="V1355"/>
      <c r="W1355"/>
      <c r="Z1355"/>
      <c r="AA1355"/>
      <c r="AD1355"/>
    </row>
    <row r="1356" spans="11:30" ht="18" customHeight="1">
      <c r="K1356" t="str">
        <f>IF(OR($I1356="Čaká na integráciu",$J1356="Integrácia"),"ÁNO","")</f>
        <v/>
      </c>
      <c r="L1356" t="str">
        <f>IF(OR($I1356="Čaká na biznis",$J1356="Biznis",$J1356="Švédsky biznis"),"ÁNO","")</f>
        <v/>
      </c>
      <c r="N1356" s="2"/>
      <c r="O1356" s="3"/>
      <c r="Q1356"/>
      <c r="R1356" s="3"/>
      <c r="S1356" s="3"/>
      <c r="T1356"/>
      <c r="U1356"/>
      <c r="V1356"/>
      <c r="W1356"/>
      <c r="Z1356"/>
      <c r="AA1356"/>
      <c r="AD1356"/>
    </row>
    <row r="1357" spans="11:30" ht="18" customHeight="1">
      <c r="K1357" t="str">
        <f>IF(OR($I1357="Čaká na integráciu",$J1357="Integrácia"),"ÁNO","")</f>
        <v/>
      </c>
      <c r="L1357" t="str">
        <f>IF(OR($I1357="Čaká na biznis",$J1357="Biznis",$J1357="Švédsky biznis"),"ÁNO","")</f>
        <v/>
      </c>
      <c r="N1357" s="2"/>
      <c r="O1357" s="3"/>
      <c r="Q1357"/>
      <c r="R1357" s="3"/>
      <c r="S1357" s="3"/>
      <c r="T1357"/>
      <c r="U1357"/>
      <c r="V1357"/>
      <c r="W1357"/>
      <c r="Z1357"/>
      <c r="AA1357"/>
      <c r="AD1357"/>
    </row>
    <row r="1358" spans="11:30" ht="18" customHeight="1">
      <c r="K1358" t="str">
        <f>IF(OR($I1358="Čaká na integráciu",$J1358="Integrácia"),"ÁNO","")</f>
        <v/>
      </c>
      <c r="L1358" t="str">
        <f>IF(OR($I1358="Čaká na biznis",$J1358="Biznis",$J1358="Švédsky biznis"),"ÁNO","")</f>
        <v/>
      </c>
      <c r="N1358" s="2"/>
      <c r="O1358" s="3"/>
      <c r="Q1358"/>
      <c r="R1358" s="3"/>
      <c r="S1358" s="3"/>
      <c r="T1358"/>
      <c r="U1358"/>
      <c r="V1358"/>
      <c r="W1358"/>
      <c r="Z1358"/>
      <c r="AA1358"/>
      <c r="AD1358"/>
    </row>
    <row r="1359" spans="11:30" ht="18" customHeight="1">
      <c r="K1359" t="str">
        <f>IF(OR($I1359="Čaká na integráciu",$J1359="Integrácia"),"ÁNO","")</f>
        <v/>
      </c>
      <c r="L1359" t="str">
        <f>IF(OR($I1359="Čaká na biznis",$J1359="Biznis",$J1359="Švédsky biznis"),"ÁNO","")</f>
        <v/>
      </c>
      <c r="N1359" s="2"/>
      <c r="O1359" s="3"/>
      <c r="Q1359"/>
      <c r="R1359" s="3"/>
      <c r="S1359" s="3"/>
      <c r="T1359"/>
      <c r="U1359"/>
      <c r="V1359"/>
      <c r="W1359"/>
      <c r="Z1359"/>
      <c r="AA1359"/>
      <c r="AD1359"/>
    </row>
    <row r="1360" spans="11:30" ht="18" customHeight="1">
      <c r="K1360" t="str">
        <f>IF(OR($I1360="Čaká na integráciu",$J1360="Integrácia"),"ÁNO","")</f>
        <v/>
      </c>
      <c r="L1360" t="str">
        <f>IF(OR($I1360="Čaká na biznis",$J1360="Biznis",$J1360="Švédsky biznis"),"ÁNO","")</f>
        <v/>
      </c>
      <c r="N1360" s="2"/>
      <c r="O1360" s="3"/>
      <c r="Q1360"/>
      <c r="R1360" s="3"/>
      <c r="S1360" s="3"/>
      <c r="T1360"/>
      <c r="U1360"/>
      <c r="V1360"/>
      <c r="W1360"/>
      <c r="Z1360"/>
      <c r="AA1360"/>
      <c r="AD1360"/>
    </row>
    <row r="1361" spans="11:30" ht="18" customHeight="1">
      <c r="K1361" t="str">
        <f>IF(OR($I1361="Čaká na integráciu",$J1361="Integrácia"),"ÁNO","")</f>
        <v/>
      </c>
      <c r="L1361" t="str">
        <f>IF(OR($I1361="Čaká na biznis",$J1361="Biznis",$J1361="Švédsky biznis"),"ÁNO","")</f>
        <v/>
      </c>
      <c r="N1361" s="2"/>
      <c r="O1361" s="3"/>
      <c r="Q1361"/>
      <c r="R1361" s="3"/>
      <c r="S1361" s="3"/>
      <c r="T1361"/>
      <c r="U1361"/>
      <c r="V1361"/>
      <c r="W1361"/>
      <c r="Z1361"/>
      <c r="AA1361"/>
      <c r="AD1361"/>
    </row>
    <row r="1362" spans="11:30" ht="18" customHeight="1">
      <c r="K1362" t="str">
        <f>IF(OR($I1362="Čaká na integráciu",$J1362="Integrácia"),"ÁNO","")</f>
        <v/>
      </c>
      <c r="L1362" t="str">
        <f>IF(OR($I1362="Čaká na biznis",$J1362="Biznis",$J1362="Švédsky biznis"),"ÁNO","")</f>
        <v/>
      </c>
      <c r="N1362" s="2"/>
      <c r="O1362" s="3"/>
      <c r="Q1362"/>
      <c r="R1362" s="3"/>
      <c r="S1362" s="3"/>
      <c r="T1362"/>
      <c r="U1362"/>
      <c r="V1362"/>
      <c r="W1362"/>
      <c r="Z1362"/>
      <c r="AA1362"/>
      <c r="AD1362"/>
    </row>
    <row r="1363" spans="11:30" ht="18" customHeight="1">
      <c r="K1363" t="str">
        <f>IF(OR($I1363="Čaká na integráciu",$J1363="Integrácia"),"ÁNO","")</f>
        <v/>
      </c>
      <c r="L1363" t="str">
        <f>IF(OR($I1363="Čaká na biznis",$J1363="Biznis",$J1363="Švédsky biznis"),"ÁNO","")</f>
        <v/>
      </c>
      <c r="N1363" s="2"/>
      <c r="O1363" s="3"/>
      <c r="Q1363"/>
      <c r="R1363" s="3"/>
      <c r="S1363" s="3"/>
      <c r="T1363"/>
      <c r="U1363"/>
      <c r="V1363"/>
      <c r="W1363"/>
      <c r="Z1363"/>
      <c r="AA1363"/>
      <c r="AD1363"/>
    </row>
    <row r="1364" spans="11:30" ht="18" customHeight="1">
      <c r="K1364" t="str">
        <f>IF(OR($I1364="Čaká na integráciu",$J1364="Integrácia"),"ÁNO","")</f>
        <v/>
      </c>
      <c r="L1364" t="str">
        <f>IF(OR($I1364="Čaká na biznis",$J1364="Biznis",$J1364="Švédsky biznis"),"ÁNO","")</f>
        <v/>
      </c>
      <c r="N1364" s="2"/>
      <c r="O1364" s="3"/>
      <c r="Q1364"/>
      <c r="R1364" s="3"/>
      <c r="S1364" s="3"/>
      <c r="T1364"/>
      <c r="U1364"/>
      <c r="V1364"/>
      <c r="W1364"/>
      <c r="Z1364"/>
      <c r="AA1364"/>
      <c r="AD1364"/>
    </row>
    <row r="1365" spans="11:30" ht="18" customHeight="1">
      <c r="K1365" t="str">
        <f>IF(OR($I1365="Čaká na integráciu",$J1365="Integrácia"),"ÁNO","")</f>
        <v/>
      </c>
      <c r="L1365" t="str">
        <f>IF(OR($I1365="Čaká na biznis",$J1365="Biznis",$J1365="Švédsky biznis"),"ÁNO","")</f>
        <v/>
      </c>
      <c r="N1365" s="2"/>
      <c r="O1365" s="3"/>
      <c r="Q1365"/>
      <c r="R1365" s="3"/>
      <c r="S1365" s="3"/>
      <c r="T1365"/>
      <c r="U1365"/>
      <c r="V1365"/>
      <c r="W1365"/>
      <c r="Z1365"/>
      <c r="AA1365"/>
      <c r="AD1365"/>
    </row>
    <row r="1366" spans="11:30" ht="18" customHeight="1">
      <c r="K1366" t="str">
        <f>IF(OR($I1366="Čaká na integráciu",$J1366="Integrácia"),"ÁNO","")</f>
        <v/>
      </c>
      <c r="L1366" t="str">
        <f>IF(OR($I1366="Čaká na biznis",$J1366="Biznis",$J1366="Švédsky biznis"),"ÁNO","")</f>
        <v/>
      </c>
      <c r="N1366" s="2"/>
      <c r="O1366" s="3"/>
      <c r="Q1366"/>
      <c r="R1366" s="3"/>
      <c r="S1366" s="3"/>
      <c r="T1366"/>
      <c r="U1366"/>
      <c r="V1366"/>
      <c r="W1366"/>
      <c r="Z1366"/>
      <c r="AA1366"/>
      <c r="AD1366"/>
    </row>
    <row r="1367" spans="11:30" ht="18" customHeight="1">
      <c r="K1367" t="str">
        <f>IF(OR($I1367="Čaká na integráciu",$J1367="Integrácia"),"ÁNO","")</f>
        <v/>
      </c>
      <c r="L1367" t="str">
        <f>IF(OR($I1367="Čaká na biznis",$J1367="Biznis",$J1367="Švédsky biznis"),"ÁNO","")</f>
        <v/>
      </c>
      <c r="N1367" s="2"/>
      <c r="O1367" s="3"/>
      <c r="Q1367"/>
      <c r="R1367" s="3"/>
      <c r="S1367" s="3"/>
      <c r="T1367"/>
      <c r="U1367"/>
      <c r="V1367"/>
      <c r="W1367"/>
      <c r="Z1367"/>
      <c r="AA1367"/>
      <c r="AD1367"/>
    </row>
    <row r="1368" spans="11:30" ht="18" customHeight="1">
      <c r="K1368" t="str">
        <f>IF(OR($I1368="Čaká na integráciu",$J1368="Integrácia"),"ÁNO","")</f>
        <v/>
      </c>
      <c r="L1368" t="str">
        <f>IF(OR($I1368="Čaká na biznis",$J1368="Biznis",$J1368="Švédsky biznis"),"ÁNO","")</f>
        <v/>
      </c>
      <c r="N1368" s="2"/>
      <c r="O1368" s="3"/>
      <c r="Q1368"/>
      <c r="R1368" s="3"/>
      <c r="S1368" s="3"/>
      <c r="T1368"/>
      <c r="U1368"/>
      <c r="V1368"/>
      <c r="W1368"/>
      <c r="Z1368"/>
      <c r="AA1368"/>
      <c r="AD1368"/>
    </row>
    <row r="1369" spans="11:30" ht="18" customHeight="1">
      <c r="K1369" t="str">
        <f>IF(OR($I1369="Čaká na integráciu",$J1369="Integrácia"),"ÁNO","")</f>
        <v/>
      </c>
      <c r="L1369" t="str">
        <f>IF(OR($I1369="Čaká na biznis",$J1369="Biznis",$J1369="Švédsky biznis"),"ÁNO","")</f>
        <v/>
      </c>
      <c r="N1369" s="2"/>
      <c r="O1369" s="3"/>
      <c r="Q1369"/>
      <c r="R1369" s="3"/>
      <c r="S1369" s="3"/>
      <c r="T1369"/>
      <c r="U1369"/>
      <c r="V1369"/>
      <c r="W1369"/>
      <c r="Z1369"/>
      <c r="AA1369"/>
      <c r="AD1369"/>
    </row>
    <row r="1370" spans="11:30" ht="18" customHeight="1">
      <c r="K1370" t="str">
        <f>IF(OR($I1370="Čaká na integráciu",$J1370="Integrácia"),"ÁNO","")</f>
        <v/>
      </c>
      <c r="L1370" t="str">
        <f>IF(OR($I1370="Čaká na biznis",$J1370="Biznis",$J1370="Švédsky biznis"),"ÁNO","")</f>
        <v/>
      </c>
      <c r="N1370" s="2"/>
      <c r="O1370" s="3"/>
      <c r="Q1370"/>
      <c r="R1370" s="3"/>
      <c r="S1370" s="3"/>
      <c r="T1370"/>
      <c r="U1370"/>
      <c r="V1370"/>
      <c r="W1370"/>
      <c r="Z1370"/>
      <c r="AA1370"/>
      <c r="AD1370"/>
    </row>
    <row r="1371" spans="11:30" ht="18" customHeight="1">
      <c r="K1371" t="str">
        <f>IF(OR($I1371="Čaká na integráciu",$J1371="Integrácia"),"ÁNO","")</f>
        <v/>
      </c>
      <c r="L1371" t="str">
        <f>IF(OR($I1371="Čaká na biznis",$J1371="Biznis",$J1371="Švédsky biznis"),"ÁNO","")</f>
        <v/>
      </c>
      <c r="N1371" s="2"/>
      <c r="O1371" s="3"/>
      <c r="Q1371"/>
      <c r="R1371" s="3"/>
      <c r="S1371" s="3"/>
      <c r="T1371"/>
      <c r="U1371"/>
      <c r="V1371"/>
      <c r="W1371"/>
      <c r="Z1371"/>
      <c r="AA1371"/>
      <c r="AD1371"/>
    </row>
    <row r="1372" spans="11:30" ht="18" customHeight="1">
      <c r="K1372" t="str">
        <f>IF(OR($I1372="Čaká na integráciu",$J1372="Integrácia"),"ÁNO","")</f>
        <v/>
      </c>
      <c r="L1372" t="str">
        <f>IF(OR($I1372="Čaká na biznis",$J1372="Biznis",$J1372="Švédsky biznis"),"ÁNO","")</f>
        <v/>
      </c>
      <c r="N1372" s="2"/>
      <c r="O1372" s="3"/>
      <c r="Q1372"/>
      <c r="R1372" s="3"/>
      <c r="S1372" s="3"/>
      <c r="T1372"/>
      <c r="U1372"/>
      <c r="V1372"/>
      <c r="W1372"/>
      <c r="Z1372"/>
      <c r="AA1372"/>
      <c r="AD1372"/>
    </row>
    <row r="1373" spans="11:30" ht="18" customHeight="1">
      <c r="K1373" t="str">
        <f>IF(OR($I1373="Čaká na integráciu",$J1373="Integrácia"),"ÁNO","")</f>
        <v/>
      </c>
      <c r="L1373" t="str">
        <f>IF(OR($I1373="Čaká na biznis",$J1373="Biznis",$J1373="Švédsky biznis"),"ÁNO","")</f>
        <v/>
      </c>
      <c r="N1373" s="2"/>
      <c r="O1373" s="3"/>
      <c r="Q1373"/>
      <c r="R1373" s="3"/>
      <c r="S1373" s="3"/>
      <c r="T1373"/>
      <c r="U1373"/>
      <c r="V1373"/>
      <c r="W1373"/>
      <c r="Z1373"/>
      <c r="AA1373"/>
      <c r="AD1373"/>
    </row>
    <row r="1374" spans="11:30" ht="18" customHeight="1">
      <c r="K1374" t="str">
        <f>IF(OR($I1374="Čaká na integráciu",$J1374="Integrácia"),"ÁNO","")</f>
        <v/>
      </c>
      <c r="L1374" t="str">
        <f>IF(OR($I1374="Čaká na biznis",$J1374="Biznis",$J1374="Švédsky biznis"),"ÁNO","")</f>
        <v/>
      </c>
      <c r="N1374" s="2"/>
      <c r="O1374" s="3"/>
      <c r="Q1374"/>
      <c r="R1374" s="3"/>
      <c r="S1374" s="3"/>
      <c r="T1374"/>
      <c r="U1374"/>
      <c r="V1374"/>
      <c r="W1374"/>
      <c r="Z1374"/>
      <c r="AA1374"/>
      <c r="AD1374"/>
    </row>
    <row r="1375" spans="11:30" ht="18" customHeight="1">
      <c r="K1375" t="str">
        <f>IF(OR($I1375="Čaká na integráciu",$J1375="Integrácia"),"ÁNO","")</f>
        <v/>
      </c>
      <c r="L1375" t="str">
        <f>IF(OR($I1375="Čaká na biznis",$J1375="Biznis",$J1375="Švédsky biznis"),"ÁNO","")</f>
        <v/>
      </c>
      <c r="N1375" s="2"/>
      <c r="O1375" s="3"/>
      <c r="Q1375"/>
      <c r="R1375" s="3"/>
      <c r="S1375" s="3"/>
      <c r="T1375"/>
      <c r="U1375"/>
      <c r="V1375"/>
      <c r="W1375"/>
      <c r="Z1375"/>
      <c r="AA1375"/>
      <c r="AD1375"/>
    </row>
    <row r="1376" spans="11:30" ht="18" customHeight="1">
      <c r="K1376" t="str">
        <f>IF(OR($I1376="Čaká na integráciu",$J1376="Integrácia"),"ÁNO","")</f>
        <v/>
      </c>
      <c r="L1376" t="str">
        <f>IF(OR($I1376="Čaká na biznis",$J1376="Biznis",$J1376="Švédsky biznis"),"ÁNO","")</f>
        <v/>
      </c>
      <c r="N1376" s="2"/>
      <c r="O1376" s="3"/>
      <c r="Q1376"/>
      <c r="R1376" s="3"/>
      <c r="S1376" s="3"/>
      <c r="T1376"/>
      <c r="U1376"/>
      <c r="V1376"/>
      <c r="W1376"/>
      <c r="Z1376"/>
      <c r="AA1376"/>
      <c r="AD1376"/>
    </row>
    <row r="1377" spans="11:30" ht="18" customHeight="1">
      <c r="K1377" t="str">
        <f>IF(OR($I1377="Čaká na integráciu",$J1377="Integrácia"),"ÁNO","")</f>
        <v/>
      </c>
      <c r="L1377" t="str">
        <f>IF(OR($I1377="Čaká na biznis",$J1377="Biznis",$J1377="Švédsky biznis"),"ÁNO","")</f>
        <v/>
      </c>
      <c r="N1377" s="2"/>
      <c r="O1377" s="3"/>
      <c r="Q1377"/>
      <c r="R1377" s="3"/>
      <c r="S1377" s="3"/>
      <c r="T1377"/>
      <c r="U1377"/>
      <c r="V1377"/>
      <c r="W1377"/>
      <c r="Z1377"/>
      <c r="AA1377"/>
      <c r="AD1377"/>
    </row>
    <row r="1378" spans="11:30" ht="18" customHeight="1">
      <c r="K1378" t="str">
        <f>IF(OR($I1378="Čaká na integráciu",$J1378="Integrácia"),"ÁNO","")</f>
        <v/>
      </c>
      <c r="L1378" t="str">
        <f>IF(OR($I1378="Čaká na biznis",$J1378="Biznis",$J1378="Švédsky biznis"),"ÁNO","")</f>
        <v/>
      </c>
      <c r="N1378" s="2"/>
      <c r="O1378" s="3"/>
      <c r="Q1378"/>
      <c r="R1378" s="3"/>
      <c r="S1378" s="3"/>
      <c r="T1378"/>
      <c r="U1378"/>
      <c r="V1378"/>
      <c r="W1378"/>
      <c r="Z1378"/>
      <c r="AA1378"/>
      <c r="AD1378"/>
    </row>
    <row r="1379" spans="11:30" ht="18" customHeight="1">
      <c r="K1379" t="str">
        <f>IF(OR($I1379="Čaká na integráciu",$J1379="Integrácia"),"ÁNO","")</f>
        <v/>
      </c>
      <c r="L1379" t="str">
        <f>IF(OR($I1379="Čaká na biznis",$J1379="Biznis",$J1379="Švédsky biznis"),"ÁNO","")</f>
        <v/>
      </c>
      <c r="N1379" s="2"/>
      <c r="O1379" s="3"/>
      <c r="Q1379"/>
      <c r="R1379" s="3"/>
      <c r="S1379" s="3"/>
      <c r="T1379"/>
      <c r="U1379"/>
      <c r="V1379"/>
      <c r="W1379"/>
      <c r="Z1379"/>
      <c r="AA1379"/>
      <c r="AD1379"/>
    </row>
    <row r="1380" spans="11:30" ht="18" customHeight="1">
      <c r="K1380" t="str">
        <f>IF(OR($I1380="Čaká na integráciu",$J1380="Integrácia"),"ÁNO","")</f>
        <v/>
      </c>
      <c r="L1380" t="str">
        <f>IF(OR($I1380="Čaká na biznis",$J1380="Biznis",$J1380="Švédsky biznis"),"ÁNO","")</f>
        <v/>
      </c>
      <c r="N1380" s="2"/>
      <c r="O1380" s="3"/>
      <c r="Q1380"/>
      <c r="R1380" s="3"/>
      <c r="S1380" s="3"/>
      <c r="T1380"/>
      <c r="U1380"/>
      <c r="V1380"/>
      <c r="W1380"/>
      <c r="Z1380"/>
      <c r="AA1380"/>
      <c r="AD1380"/>
    </row>
    <row r="1381" spans="11:30" ht="18" customHeight="1">
      <c r="K1381" t="str">
        <f>IF(OR($I1381="Čaká na integráciu",$J1381="Integrácia"),"ÁNO","")</f>
        <v/>
      </c>
      <c r="L1381" t="str">
        <f>IF(OR($I1381="Čaká na biznis",$J1381="Biznis",$J1381="Švédsky biznis"),"ÁNO","")</f>
        <v/>
      </c>
      <c r="N1381" s="2"/>
      <c r="O1381" s="3"/>
      <c r="Q1381"/>
      <c r="R1381" s="3"/>
      <c r="S1381" s="3"/>
      <c r="T1381"/>
      <c r="U1381"/>
      <c r="V1381"/>
      <c r="W1381"/>
      <c r="Z1381"/>
      <c r="AA1381"/>
      <c r="AD1381"/>
    </row>
    <row r="1382" spans="11:30" ht="18" customHeight="1">
      <c r="K1382" t="str">
        <f>IF(OR($I1382="Čaká na integráciu",$J1382="Integrácia"),"ÁNO","")</f>
        <v/>
      </c>
      <c r="L1382" t="str">
        <f>IF(OR($I1382="Čaká na biznis",$J1382="Biznis",$J1382="Švédsky biznis"),"ÁNO","")</f>
        <v/>
      </c>
      <c r="N1382" s="2"/>
      <c r="O1382" s="3"/>
      <c r="Q1382"/>
      <c r="R1382" s="3"/>
      <c r="S1382" s="3"/>
      <c r="T1382"/>
      <c r="U1382"/>
      <c r="V1382"/>
      <c r="W1382"/>
      <c r="Z1382"/>
      <c r="AA1382"/>
      <c r="AD1382"/>
    </row>
    <row r="1383" spans="11:30" ht="18" customHeight="1">
      <c r="K1383" t="str">
        <f>IF(OR($I1383="Čaká na integráciu",$J1383="Integrácia"),"ÁNO","")</f>
        <v/>
      </c>
      <c r="L1383" t="str">
        <f>IF(OR($I1383="Čaká na biznis",$J1383="Biznis",$J1383="Švédsky biznis"),"ÁNO","")</f>
        <v/>
      </c>
      <c r="N1383" s="2"/>
      <c r="O1383" s="3"/>
      <c r="Q1383"/>
      <c r="R1383" s="3"/>
      <c r="S1383" s="3"/>
      <c r="T1383"/>
      <c r="U1383"/>
      <c r="V1383"/>
      <c r="W1383"/>
      <c r="Z1383"/>
      <c r="AA1383"/>
      <c r="AD1383"/>
    </row>
    <row r="1384" spans="11:30" ht="18" customHeight="1">
      <c r="K1384" t="str">
        <f>IF(OR($I1384="Čaká na integráciu",$J1384="Integrácia"),"ÁNO","")</f>
        <v/>
      </c>
      <c r="L1384" t="str">
        <f>IF(OR($I1384="Čaká na biznis",$J1384="Biznis",$J1384="Švédsky biznis"),"ÁNO","")</f>
        <v/>
      </c>
      <c r="N1384" s="2"/>
      <c r="O1384" s="3"/>
      <c r="Q1384"/>
      <c r="R1384" s="3"/>
      <c r="S1384" s="3"/>
      <c r="T1384"/>
      <c r="U1384"/>
      <c r="V1384"/>
      <c r="W1384"/>
      <c r="Z1384"/>
      <c r="AA1384"/>
      <c r="AD1384"/>
    </row>
    <row r="1385" spans="11:30" ht="18" customHeight="1">
      <c r="K1385" t="str">
        <f>IF(OR($I1385="Čaká na integráciu",$J1385="Integrácia"),"ÁNO","")</f>
        <v/>
      </c>
      <c r="L1385" t="str">
        <f>IF(OR($I1385="Čaká na biznis",$J1385="Biznis",$J1385="Švédsky biznis"),"ÁNO","")</f>
        <v/>
      </c>
      <c r="N1385" s="2"/>
      <c r="O1385" s="3"/>
      <c r="Q1385"/>
      <c r="R1385" s="3"/>
      <c r="S1385" s="3"/>
      <c r="T1385"/>
      <c r="U1385"/>
      <c r="V1385"/>
      <c r="W1385"/>
      <c r="Z1385"/>
      <c r="AA1385"/>
      <c r="AD1385"/>
    </row>
    <row r="1386" spans="11:30" ht="18" customHeight="1">
      <c r="K1386" t="str">
        <f>IF(OR($I1386="Čaká na integráciu",$J1386="Integrácia"),"ÁNO","")</f>
        <v/>
      </c>
      <c r="L1386" t="str">
        <f>IF(OR($I1386="Čaká na biznis",$J1386="Biznis",$J1386="Švédsky biznis"),"ÁNO","")</f>
        <v/>
      </c>
      <c r="N1386" s="2"/>
      <c r="O1386" s="3"/>
      <c r="Q1386"/>
      <c r="R1386" s="3"/>
      <c r="S1386" s="3"/>
      <c r="T1386"/>
      <c r="U1386"/>
      <c r="V1386"/>
      <c r="W1386"/>
      <c r="Z1386"/>
      <c r="AA1386"/>
      <c r="AD1386"/>
    </row>
    <row r="1387" spans="11:30" ht="18" customHeight="1">
      <c r="K1387" t="str">
        <f>IF(OR($I1387="Čaká na integráciu",$J1387="Integrácia"),"ÁNO","")</f>
        <v/>
      </c>
      <c r="L1387" t="str">
        <f>IF(OR($I1387="Čaká na biznis",$J1387="Biznis",$J1387="Švédsky biznis"),"ÁNO","")</f>
        <v/>
      </c>
      <c r="N1387" s="2"/>
      <c r="O1387" s="3"/>
      <c r="Q1387"/>
      <c r="R1387" s="3"/>
      <c r="S1387" s="3"/>
      <c r="T1387"/>
      <c r="U1387"/>
      <c r="V1387"/>
      <c r="W1387"/>
      <c r="Z1387"/>
      <c r="AA1387"/>
      <c r="AD1387"/>
    </row>
    <row r="1388" spans="11:30" ht="18" customHeight="1">
      <c r="K1388" t="str">
        <f>IF(OR($I1388="Čaká na integráciu",$J1388="Integrácia"),"ÁNO","")</f>
        <v/>
      </c>
      <c r="L1388" t="str">
        <f>IF(OR($I1388="Čaká na biznis",$J1388="Biznis",$J1388="Švédsky biznis"),"ÁNO","")</f>
        <v/>
      </c>
      <c r="N1388" s="2"/>
      <c r="O1388" s="3"/>
      <c r="Q1388"/>
      <c r="R1388" s="3"/>
      <c r="S1388" s="3"/>
      <c r="T1388"/>
      <c r="U1388"/>
      <c r="V1388"/>
      <c r="W1388"/>
      <c r="Z1388"/>
      <c r="AA1388"/>
      <c r="AD1388"/>
    </row>
    <row r="1389" spans="11:30" ht="18" customHeight="1">
      <c r="K1389" t="str">
        <f>IF(OR($I1389="Čaká na integráciu",$J1389="Integrácia"),"ÁNO","")</f>
        <v/>
      </c>
      <c r="L1389" t="str">
        <f>IF(OR($I1389="Čaká na biznis",$J1389="Biznis",$J1389="Švédsky biznis"),"ÁNO","")</f>
        <v/>
      </c>
      <c r="N1389" s="2"/>
      <c r="O1389" s="3"/>
      <c r="Q1389"/>
      <c r="R1389" s="3"/>
      <c r="S1389" s="3"/>
      <c r="T1389"/>
      <c r="U1389"/>
      <c r="V1389"/>
      <c r="W1389"/>
      <c r="Z1389"/>
      <c r="AA1389"/>
      <c r="AD1389"/>
    </row>
    <row r="1390" spans="11:30" ht="18" customHeight="1">
      <c r="K1390" t="str">
        <f>IF(OR($I1390="Čaká na integráciu",$J1390="Integrácia"),"ÁNO","")</f>
        <v/>
      </c>
      <c r="L1390" t="str">
        <f>IF(OR($I1390="Čaká na biznis",$J1390="Biznis",$J1390="Švédsky biznis"),"ÁNO","")</f>
        <v/>
      </c>
      <c r="N1390" s="2"/>
      <c r="O1390" s="3"/>
      <c r="Q1390"/>
      <c r="R1390" s="3"/>
      <c r="S1390" s="3"/>
      <c r="T1390"/>
      <c r="U1390"/>
      <c r="V1390"/>
      <c r="W1390"/>
      <c r="Z1390"/>
      <c r="AA1390"/>
      <c r="AD1390"/>
    </row>
    <row r="1391" spans="11:30" ht="18" customHeight="1">
      <c r="K1391" t="str">
        <f>IF(OR($I1391="Čaká na integráciu",$J1391="Integrácia"),"ÁNO","")</f>
        <v/>
      </c>
      <c r="L1391" t="str">
        <f>IF(OR($I1391="Čaká na biznis",$J1391="Biznis",$J1391="Švédsky biznis"),"ÁNO","")</f>
        <v/>
      </c>
      <c r="N1391" s="2"/>
      <c r="O1391" s="3"/>
      <c r="Q1391"/>
      <c r="R1391" s="3"/>
      <c r="S1391" s="3"/>
      <c r="T1391"/>
      <c r="U1391"/>
      <c r="V1391"/>
      <c r="W1391"/>
      <c r="Z1391"/>
      <c r="AA1391"/>
      <c r="AD1391"/>
    </row>
    <row r="1392" spans="11:30" ht="18" customHeight="1">
      <c r="K1392" t="str">
        <f>IF(OR($I1392="Čaká na integráciu",$J1392="Integrácia"),"ÁNO","")</f>
        <v/>
      </c>
      <c r="L1392" t="str">
        <f>IF(OR($I1392="Čaká na biznis",$J1392="Biznis",$J1392="Švédsky biznis"),"ÁNO","")</f>
        <v/>
      </c>
      <c r="N1392" s="2"/>
      <c r="O1392" s="3"/>
      <c r="Q1392"/>
      <c r="R1392" s="3"/>
      <c r="S1392" s="3"/>
      <c r="T1392"/>
      <c r="U1392"/>
      <c r="V1392"/>
      <c r="W1392"/>
      <c r="Z1392"/>
      <c r="AA1392"/>
      <c r="AD1392"/>
    </row>
    <row r="1393" spans="11:30" ht="18" customHeight="1">
      <c r="K1393" t="str">
        <f>IF(OR($I1393="Čaká na integráciu",$J1393="Integrácia"),"ÁNO","")</f>
        <v/>
      </c>
      <c r="L1393" t="str">
        <f>IF(OR($I1393="Čaká na biznis",$J1393="Biznis",$J1393="Švédsky biznis"),"ÁNO","")</f>
        <v/>
      </c>
      <c r="N1393" s="2"/>
      <c r="O1393" s="3"/>
      <c r="Q1393"/>
      <c r="R1393" s="3"/>
      <c r="S1393" s="3"/>
      <c r="T1393"/>
      <c r="U1393"/>
      <c r="V1393"/>
      <c r="W1393"/>
      <c r="Z1393"/>
      <c r="AA1393"/>
      <c r="AD1393"/>
    </row>
    <row r="1394" spans="11:30" ht="18" customHeight="1">
      <c r="K1394" t="str">
        <f>IF(OR($I1394="Čaká na integráciu",$J1394="Integrácia"),"ÁNO","")</f>
        <v/>
      </c>
      <c r="L1394" t="str">
        <f>IF(OR($I1394="Čaká na biznis",$J1394="Biznis",$J1394="Švédsky biznis"),"ÁNO","")</f>
        <v/>
      </c>
      <c r="N1394" s="2"/>
      <c r="O1394" s="3"/>
      <c r="Q1394"/>
      <c r="R1394" s="3"/>
      <c r="S1394" s="3"/>
      <c r="T1394"/>
      <c r="U1394"/>
      <c r="V1394"/>
      <c r="W1394"/>
      <c r="Z1394"/>
      <c r="AA1394"/>
      <c r="AD1394"/>
    </row>
    <row r="1395" spans="11:30" ht="18" customHeight="1">
      <c r="K1395" t="str">
        <f>IF(OR($I1395="Čaká na integráciu",$J1395="Integrácia"),"ÁNO","")</f>
        <v/>
      </c>
      <c r="L1395" t="str">
        <f>IF(OR($I1395="Čaká na biznis",$J1395="Biznis",$J1395="Švédsky biznis"),"ÁNO","")</f>
        <v/>
      </c>
      <c r="N1395" s="2"/>
      <c r="O1395" s="3"/>
      <c r="Q1395"/>
      <c r="R1395" s="3"/>
      <c r="S1395" s="3"/>
      <c r="T1395"/>
      <c r="U1395"/>
      <c r="V1395"/>
      <c r="W1395"/>
      <c r="Z1395"/>
      <c r="AA1395"/>
      <c r="AD1395"/>
    </row>
    <row r="1396" spans="11:30" ht="18" customHeight="1">
      <c r="K1396" t="str">
        <f>IF(OR($I1396="Čaká na integráciu",$J1396="Integrácia"),"ÁNO","")</f>
        <v/>
      </c>
      <c r="L1396" t="str">
        <f>IF(OR($I1396="Čaká na biznis",$J1396="Biznis",$J1396="Švédsky biznis"),"ÁNO","")</f>
        <v/>
      </c>
      <c r="N1396" s="2"/>
      <c r="O1396" s="3"/>
      <c r="Q1396"/>
      <c r="R1396" s="3"/>
      <c r="S1396" s="3"/>
      <c r="T1396"/>
      <c r="U1396"/>
      <c r="V1396"/>
      <c r="W1396"/>
      <c r="Z1396"/>
      <c r="AA1396"/>
      <c r="AD1396"/>
    </row>
    <row r="1397" spans="11:30" ht="18" customHeight="1">
      <c r="K1397" t="str">
        <f>IF(OR($I1397="Čaká na integráciu",$J1397="Integrácia"),"ÁNO","")</f>
        <v/>
      </c>
      <c r="L1397" t="str">
        <f>IF(OR($I1397="Čaká na biznis",$J1397="Biznis",$J1397="Švédsky biznis"),"ÁNO","")</f>
        <v/>
      </c>
      <c r="N1397" s="2"/>
      <c r="O1397" s="3"/>
      <c r="Q1397"/>
      <c r="R1397" s="3"/>
      <c r="S1397" s="3"/>
      <c r="T1397"/>
      <c r="U1397"/>
      <c r="V1397"/>
      <c r="W1397"/>
      <c r="Z1397"/>
      <c r="AA1397"/>
      <c r="AD1397"/>
    </row>
    <row r="1398" spans="11:30" ht="18" customHeight="1">
      <c r="K1398" t="str">
        <f>IF(OR($I1398="Čaká na integráciu",$J1398="Integrácia"),"ÁNO","")</f>
        <v/>
      </c>
      <c r="L1398" t="str">
        <f>IF(OR($I1398="Čaká na biznis",$J1398="Biznis",$J1398="Švédsky biznis"),"ÁNO","")</f>
        <v/>
      </c>
      <c r="N1398" s="2"/>
      <c r="O1398" s="3"/>
      <c r="Q1398"/>
      <c r="R1398" s="3"/>
      <c r="S1398" s="3"/>
      <c r="T1398"/>
      <c r="U1398"/>
      <c r="V1398"/>
      <c r="W1398"/>
      <c r="Z1398"/>
      <c r="AA1398"/>
      <c r="AD1398"/>
    </row>
    <row r="1399" spans="11:30" ht="18" customHeight="1">
      <c r="K1399" t="str">
        <f>IF(OR($I1399="Čaká na integráciu",$J1399="Integrácia"),"ÁNO","")</f>
        <v/>
      </c>
      <c r="L1399" t="str">
        <f>IF(OR($I1399="Čaká na biznis",$J1399="Biznis",$J1399="Švédsky biznis"),"ÁNO","")</f>
        <v/>
      </c>
      <c r="N1399" s="2"/>
      <c r="O1399" s="3"/>
      <c r="Q1399"/>
      <c r="R1399" s="3"/>
      <c r="S1399" s="3"/>
      <c r="T1399"/>
      <c r="U1399"/>
      <c r="V1399"/>
      <c r="W1399"/>
      <c r="Z1399"/>
      <c r="AA1399"/>
      <c r="AD1399"/>
    </row>
    <row r="1400" spans="11:30" ht="18" customHeight="1">
      <c r="K1400" t="str">
        <f>IF(OR($I1400="Čaká na integráciu",$J1400="Integrácia"),"ÁNO","")</f>
        <v/>
      </c>
      <c r="L1400" t="str">
        <f>IF(OR($I1400="Čaká na biznis",$J1400="Biznis",$J1400="Švédsky biznis"),"ÁNO","")</f>
        <v/>
      </c>
      <c r="N1400" s="2"/>
      <c r="O1400" s="3"/>
      <c r="Q1400"/>
      <c r="R1400" s="3"/>
      <c r="S1400" s="3"/>
      <c r="T1400"/>
      <c r="U1400"/>
      <c r="V1400"/>
      <c r="W1400"/>
      <c r="Z1400"/>
      <c r="AA1400"/>
      <c r="AD1400"/>
    </row>
    <row r="1401" spans="11:30" ht="18" customHeight="1">
      <c r="K1401" t="str">
        <f>IF(OR($I1401="Čaká na integráciu",$J1401="Integrácia"),"ÁNO","")</f>
        <v/>
      </c>
      <c r="L1401" t="str">
        <f>IF(OR($I1401="Čaká na biznis",$J1401="Biznis",$J1401="Švédsky biznis"),"ÁNO","")</f>
        <v/>
      </c>
      <c r="N1401" s="2"/>
      <c r="O1401" s="3"/>
      <c r="Q1401"/>
      <c r="R1401" s="3"/>
      <c r="S1401" s="3"/>
      <c r="T1401"/>
      <c r="U1401"/>
      <c r="V1401"/>
      <c r="W1401"/>
      <c r="Z1401"/>
      <c r="AA1401"/>
      <c r="AD1401"/>
    </row>
    <row r="1402" spans="11:30" ht="18" customHeight="1">
      <c r="K1402" t="str">
        <f>IF(OR($I1402="Čaká na integráciu",$J1402="Integrácia"),"ÁNO","")</f>
        <v/>
      </c>
      <c r="L1402" t="str">
        <f>IF(OR($I1402="Čaká na biznis",$J1402="Biznis",$J1402="Švédsky biznis"),"ÁNO","")</f>
        <v/>
      </c>
      <c r="N1402" s="2"/>
      <c r="O1402" s="3"/>
      <c r="Q1402"/>
      <c r="R1402" s="3"/>
      <c r="S1402" s="3"/>
      <c r="T1402"/>
      <c r="U1402"/>
      <c r="V1402"/>
      <c r="W1402"/>
      <c r="Z1402"/>
      <c r="AA1402"/>
      <c r="AD1402"/>
    </row>
    <row r="1403" spans="11:30" ht="18" customHeight="1">
      <c r="K1403" t="str">
        <f>IF(OR($I1403="Čaká na integráciu",$J1403="Integrácia"),"ÁNO","")</f>
        <v/>
      </c>
      <c r="L1403" t="str">
        <f>IF(OR($I1403="Čaká na biznis",$J1403="Biznis",$J1403="Švédsky biznis"),"ÁNO","")</f>
        <v/>
      </c>
      <c r="N1403" s="2"/>
      <c r="O1403" s="3"/>
      <c r="Q1403"/>
      <c r="R1403" s="3"/>
      <c r="S1403" s="3"/>
      <c r="T1403"/>
      <c r="U1403"/>
      <c r="V1403"/>
      <c r="W1403"/>
      <c r="Z1403"/>
      <c r="AA1403"/>
      <c r="AD1403"/>
    </row>
    <row r="1404" spans="11:30" ht="18" customHeight="1">
      <c r="K1404" t="str">
        <f>IF(OR($I1404="Čaká na integráciu",$J1404="Integrácia"),"ÁNO","")</f>
        <v/>
      </c>
      <c r="L1404" t="str">
        <f>IF(OR($I1404="Čaká na biznis",$J1404="Biznis",$J1404="Švédsky biznis"),"ÁNO","")</f>
        <v/>
      </c>
      <c r="N1404" s="2"/>
      <c r="O1404" s="3"/>
      <c r="Q1404"/>
      <c r="R1404" s="3"/>
      <c r="S1404" s="3"/>
      <c r="T1404"/>
      <c r="U1404"/>
      <c r="V1404"/>
      <c r="W1404"/>
      <c r="Z1404"/>
      <c r="AA1404"/>
      <c r="AD1404"/>
    </row>
    <row r="1405" spans="11:30" ht="18" customHeight="1">
      <c r="K1405" t="str">
        <f>IF(OR($I1405="Čaká na integráciu",$J1405="Integrácia"),"ÁNO","")</f>
        <v/>
      </c>
      <c r="L1405" t="str">
        <f>IF(OR($I1405="Čaká na biznis",$J1405="Biznis",$J1405="Švédsky biznis"),"ÁNO","")</f>
        <v/>
      </c>
      <c r="N1405" s="2"/>
      <c r="O1405" s="3"/>
      <c r="Q1405"/>
      <c r="R1405" s="3"/>
      <c r="S1405" s="3"/>
      <c r="T1405"/>
      <c r="U1405"/>
      <c r="V1405"/>
      <c r="W1405"/>
      <c r="Z1405"/>
      <c r="AA1405"/>
      <c r="AD1405"/>
    </row>
    <row r="1406" spans="11:30" ht="18" customHeight="1">
      <c r="K1406" t="str">
        <f>IF(OR($I1406="Čaká na integráciu",$J1406="Integrácia"),"ÁNO","")</f>
        <v/>
      </c>
      <c r="L1406" t="str">
        <f>IF(OR($I1406="Čaká na biznis",$J1406="Biznis",$J1406="Švédsky biznis"),"ÁNO","")</f>
        <v/>
      </c>
      <c r="N1406" s="2"/>
      <c r="O1406" s="3"/>
      <c r="Q1406"/>
      <c r="R1406" s="3"/>
      <c r="S1406" s="3"/>
      <c r="T1406"/>
      <c r="U1406"/>
      <c r="V1406"/>
      <c r="W1406"/>
      <c r="Z1406"/>
      <c r="AA1406"/>
      <c r="AD1406"/>
    </row>
    <row r="1407" spans="11:30" ht="18" customHeight="1">
      <c r="K1407" t="str">
        <f>IF(OR($I1407="Čaká na integráciu",$J1407="Integrácia"),"ÁNO","")</f>
        <v/>
      </c>
      <c r="L1407" t="str">
        <f>IF(OR($I1407="Čaká na biznis",$J1407="Biznis",$J1407="Švédsky biznis"),"ÁNO","")</f>
        <v/>
      </c>
      <c r="N1407" s="2"/>
      <c r="O1407" s="3"/>
      <c r="Q1407"/>
      <c r="R1407" s="3"/>
      <c r="S1407" s="3"/>
      <c r="T1407"/>
      <c r="U1407"/>
      <c r="V1407"/>
      <c r="W1407"/>
      <c r="Z1407"/>
      <c r="AA1407"/>
      <c r="AD1407"/>
    </row>
    <row r="1408" spans="11:30" ht="18" customHeight="1">
      <c r="K1408" t="str">
        <f>IF(OR($I1408="Čaká na integráciu",$J1408="Integrácia"),"ÁNO","")</f>
        <v/>
      </c>
      <c r="L1408" t="str">
        <f>IF(OR($I1408="Čaká na biznis",$J1408="Biznis",$J1408="Švédsky biznis"),"ÁNO","")</f>
        <v/>
      </c>
      <c r="N1408" s="2"/>
      <c r="O1408" s="3"/>
      <c r="Q1408"/>
      <c r="R1408" s="3"/>
      <c r="S1408" s="3"/>
      <c r="T1408"/>
      <c r="U1408"/>
      <c r="V1408"/>
      <c r="W1408"/>
      <c r="Z1408"/>
      <c r="AA1408"/>
      <c r="AD1408"/>
    </row>
    <row r="1409" spans="11:30" ht="18" customHeight="1">
      <c r="K1409" t="str">
        <f>IF(OR($I1409="Čaká na integráciu",$J1409="Integrácia"),"ÁNO","")</f>
        <v/>
      </c>
      <c r="L1409" t="str">
        <f>IF(OR($I1409="Čaká na biznis",$J1409="Biznis",$J1409="Švédsky biznis"),"ÁNO","")</f>
        <v/>
      </c>
      <c r="N1409" s="2"/>
      <c r="O1409" s="3"/>
      <c r="Q1409"/>
      <c r="R1409" s="3"/>
      <c r="S1409" s="3"/>
      <c r="T1409"/>
      <c r="U1409"/>
      <c r="V1409"/>
      <c r="W1409"/>
      <c r="Z1409"/>
      <c r="AA1409"/>
      <c r="AD1409"/>
    </row>
    <row r="1410" spans="11:30" ht="18" customHeight="1">
      <c r="K1410" t="str">
        <f>IF(OR($I1410="Čaká na integráciu",$J1410="Integrácia"),"ÁNO","")</f>
        <v/>
      </c>
      <c r="L1410" t="str">
        <f>IF(OR($I1410="Čaká na biznis",$J1410="Biznis",$J1410="Švédsky biznis"),"ÁNO","")</f>
        <v/>
      </c>
      <c r="N1410" s="2"/>
      <c r="O1410" s="3"/>
      <c r="Q1410"/>
      <c r="R1410" s="3"/>
      <c r="S1410" s="3"/>
      <c r="T1410"/>
      <c r="U1410"/>
      <c r="V1410"/>
      <c r="W1410"/>
      <c r="Z1410"/>
      <c r="AA1410"/>
      <c r="AD1410"/>
    </row>
    <row r="1411" spans="11:30" ht="18" customHeight="1">
      <c r="K1411" t="str">
        <f>IF(OR($I1411="Čaká na integráciu",$J1411="Integrácia"),"ÁNO","")</f>
        <v/>
      </c>
      <c r="L1411" t="str">
        <f>IF(OR($I1411="Čaká na biznis",$J1411="Biznis",$J1411="Švédsky biznis"),"ÁNO","")</f>
        <v/>
      </c>
      <c r="N1411" s="2"/>
      <c r="O1411" s="3"/>
      <c r="Q1411"/>
      <c r="R1411" s="3"/>
      <c r="S1411" s="3"/>
      <c r="T1411"/>
      <c r="U1411"/>
      <c r="V1411"/>
      <c r="W1411"/>
      <c r="Z1411"/>
      <c r="AA1411"/>
      <c r="AD1411"/>
    </row>
    <row r="1412" spans="11:30" ht="18" customHeight="1">
      <c r="K1412" t="str">
        <f>IF(OR($I1412="Čaká na integráciu",$J1412="Integrácia"),"ÁNO","")</f>
        <v/>
      </c>
      <c r="L1412" t="str">
        <f>IF(OR($I1412="Čaká na biznis",$J1412="Biznis",$J1412="Švédsky biznis"),"ÁNO","")</f>
        <v/>
      </c>
      <c r="N1412" s="2"/>
      <c r="O1412" s="3"/>
      <c r="Q1412"/>
      <c r="R1412" s="3"/>
      <c r="S1412" s="3"/>
      <c r="T1412"/>
      <c r="U1412"/>
      <c r="V1412"/>
      <c r="W1412"/>
      <c r="Z1412"/>
      <c r="AA1412"/>
      <c r="AD1412"/>
    </row>
    <row r="1413" spans="11:30" ht="18" customHeight="1">
      <c r="K1413" t="str">
        <f>IF(OR($I1413="Čaká na integráciu",$J1413="Integrácia"),"ÁNO","")</f>
        <v/>
      </c>
      <c r="L1413" t="str">
        <f>IF(OR($I1413="Čaká na biznis",$J1413="Biznis",$J1413="Švédsky biznis"),"ÁNO","")</f>
        <v/>
      </c>
      <c r="N1413" s="2"/>
      <c r="O1413" s="3"/>
      <c r="Q1413"/>
      <c r="R1413" s="3"/>
      <c r="S1413" s="3"/>
      <c r="T1413"/>
      <c r="U1413"/>
      <c r="V1413"/>
      <c r="W1413"/>
      <c r="Z1413"/>
      <c r="AA1413"/>
      <c r="AD1413"/>
    </row>
    <row r="1414" spans="11:30" ht="18" customHeight="1">
      <c r="K1414" t="str">
        <f>IF(OR($I1414="Čaká na integráciu",$J1414="Integrácia"),"ÁNO","")</f>
        <v/>
      </c>
      <c r="L1414" t="str">
        <f>IF(OR($I1414="Čaká na biznis",$J1414="Biznis",$J1414="Švédsky biznis"),"ÁNO","")</f>
        <v/>
      </c>
      <c r="N1414" s="2"/>
      <c r="O1414" s="3"/>
      <c r="Q1414"/>
      <c r="R1414" s="3"/>
      <c r="S1414" s="3"/>
      <c r="T1414"/>
      <c r="U1414"/>
      <c r="V1414"/>
      <c r="W1414"/>
      <c r="Z1414"/>
      <c r="AA1414"/>
      <c r="AD1414"/>
    </row>
    <row r="1415" spans="11:30" ht="18" customHeight="1">
      <c r="K1415" t="str">
        <f>IF(OR($I1415="Čaká na integráciu",$J1415="Integrácia"),"ÁNO","")</f>
        <v/>
      </c>
      <c r="L1415" t="str">
        <f>IF(OR($I1415="Čaká na biznis",$J1415="Biznis",$J1415="Švédsky biznis"),"ÁNO","")</f>
        <v/>
      </c>
      <c r="N1415" s="2"/>
      <c r="O1415" s="3"/>
      <c r="Q1415"/>
      <c r="R1415" s="3"/>
      <c r="S1415" s="3"/>
      <c r="T1415"/>
      <c r="U1415"/>
      <c r="V1415"/>
      <c r="W1415"/>
      <c r="Z1415"/>
      <c r="AA1415"/>
      <c r="AD1415"/>
    </row>
    <row r="1416" spans="11:30" ht="18" customHeight="1">
      <c r="K1416" t="str">
        <f>IF(OR($I1416="Čaká na integráciu",$J1416="Integrácia"),"ÁNO","")</f>
        <v/>
      </c>
      <c r="L1416" t="str">
        <f>IF(OR($I1416="Čaká na biznis",$J1416="Biznis",$J1416="Švédsky biznis"),"ÁNO","")</f>
        <v/>
      </c>
      <c r="N1416" s="2"/>
      <c r="O1416" s="3"/>
      <c r="Q1416"/>
      <c r="R1416" s="3"/>
      <c r="S1416" s="3"/>
      <c r="T1416"/>
      <c r="U1416"/>
      <c r="V1416"/>
      <c r="W1416"/>
      <c r="Z1416"/>
      <c r="AA1416"/>
      <c r="AD1416"/>
    </row>
    <row r="1417" spans="11:30" ht="18" customHeight="1">
      <c r="K1417" t="str">
        <f>IF(OR($I1417="Čaká na integráciu",$J1417="Integrácia"),"ÁNO","")</f>
        <v/>
      </c>
      <c r="L1417" t="str">
        <f>IF(OR($I1417="Čaká na biznis",$J1417="Biznis",$J1417="Švédsky biznis"),"ÁNO","")</f>
        <v/>
      </c>
      <c r="N1417" s="2"/>
      <c r="O1417" s="3"/>
      <c r="Q1417"/>
      <c r="R1417" s="3"/>
      <c r="S1417" s="3"/>
      <c r="T1417"/>
      <c r="U1417"/>
      <c r="V1417"/>
      <c r="W1417"/>
      <c r="Z1417"/>
      <c r="AA1417"/>
      <c r="AD1417"/>
    </row>
    <row r="1418" spans="11:30" ht="18" customHeight="1">
      <c r="K1418" t="str">
        <f>IF(OR($I1418="Čaká na integráciu",$J1418="Integrácia"),"ÁNO","")</f>
        <v/>
      </c>
      <c r="L1418" t="str">
        <f>IF(OR($I1418="Čaká na biznis",$J1418="Biznis",$J1418="Švédsky biznis"),"ÁNO","")</f>
        <v/>
      </c>
      <c r="N1418" s="2"/>
      <c r="O1418" s="3"/>
      <c r="Q1418"/>
      <c r="R1418" s="3"/>
      <c r="S1418" s="3"/>
      <c r="T1418"/>
      <c r="U1418"/>
      <c r="V1418"/>
      <c r="W1418"/>
      <c r="Z1418"/>
      <c r="AA1418"/>
      <c r="AD1418"/>
    </row>
    <row r="1419" spans="11:30" ht="18" customHeight="1">
      <c r="K1419" t="str">
        <f>IF(OR($I1419="Čaká na integráciu",$J1419="Integrácia"),"ÁNO","")</f>
        <v/>
      </c>
      <c r="L1419" t="str">
        <f>IF(OR($I1419="Čaká na biznis",$J1419="Biznis",$J1419="Švédsky biznis"),"ÁNO","")</f>
        <v/>
      </c>
      <c r="N1419" s="2"/>
      <c r="O1419" s="3"/>
      <c r="Q1419"/>
      <c r="R1419" s="3"/>
      <c r="S1419" s="3"/>
      <c r="T1419"/>
      <c r="U1419"/>
      <c r="V1419"/>
      <c r="W1419"/>
      <c r="Z1419"/>
      <c r="AA1419"/>
      <c r="AD1419"/>
    </row>
    <row r="1420" spans="11:30" ht="18" customHeight="1">
      <c r="K1420" t="str">
        <f>IF(OR($I1420="Čaká na integráciu",$J1420="Integrácia"),"ÁNO","")</f>
        <v/>
      </c>
      <c r="L1420" t="str">
        <f>IF(OR($I1420="Čaká na biznis",$J1420="Biznis",$J1420="Švédsky biznis"),"ÁNO","")</f>
        <v/>
      </c>
      <c r="N1420" s="2"/>
      <c r="O1420" s="3"/>
      <c r="Q1420"/>
      <c r="R1420" s="3"/>
      <c r="S1420" s="3"/>
      <c r="T1420"/>
      <c r="U1420"/>
      <c r="V1420"/>
      <c r="W1420"/>
      <c r="Z1420"/>
      <c r="AA1420"/>
      <c r="AD1420"/>
    </row>
    <row r="1421" spans="11:30" ht="18" customHeight="1">
      <c r="K1421" t="str">
        <f>IF(OR($I1421="Čaká na integráciu",$J1421="Integrácia"),"ÁNO","")</f>
        <v/>
      </c>
      <c r="L1421" t="str">
        <f>IF(OR($I1421="Čaká na biznis",$J1421="Biznis",$J1421="Švédsky biznis"),"ÁNO","")</f>
        <v/>
      </c>
      <c r="N1421" s="2"/>
      <c r="O1421" s="3"/>
      <c r="Q1421"/>
      <c r="R1421" s="3"/>
      <c r="S1421" s="3"/>
      <c r="T1421"/>
      <c r="U1421"/>
      <c r="V1421"/>
      <c r="W1421"/>
      <c r="Z1421"/>
      <c r="AA1421"/>
      <c r="AD1421"/>
    </row>
    <row r="1422" spans="11:30" ht="18" customHeight="1">
      <c r="K1422" t="str">
        <f>IF(OR($I1422="Čaká na integráciu",$J1422="Integrácia"),"ÁNO","")</f>
        <v/>
      </c>
      <c r="L1422" t="str">
        <f>IF(OR($I1422="Čaká na biznis",$J1422="Biznis",$J1422="Švédsky biznis"),"ÁNO","")</f>
        <v/>
      </c>
      <c r="N1422" s="2"/>
      <c r="O1422" s="3"/>
      <c r="Q1422"/>
      <c r="R1422" s="3"/>
      <c r="S1422" s="3"/>
      <c r="T1422"/>
      <c r="U1422"/>
      <c r="V1422"/>
      <c r="W1422"/>
      <c r="Z1422"/>
      <c r="AA1422"/>
      <c r="AD1422"/>
    </row>
    <row r="1423" spans="11:30" ht="18" customHeight="1">
      <c r="K1423" t="str">
        <f>IF(OR($I1423="Čaká na integráciu",$J1423="Integrácia"),"ÁNO","")</f>
        <v/>
      </c>
      <c r="L1423" t="str">
        <f>IF(OR($I1423="Čaká na biznis",$J1423="Biznis",$J1423="Švédsky biznis"),"ÁNO","")</f>
        <v/>
      </c>
      <c r="N1423" s="2"/>
      <c r="O1423" s="3"/>
      <c r="Q1423"/>
      <c r="R1423" s="3"/>
      <c r="S1423" s="3"/>
      <c r="T1423"/>
      <c r="U1423"/>
      <c r="V1423"/>
      <c r="W1423"/>
      <c r="Z1423"/>
      <c r="AA1423"/>
      <c r="AD1423"/>
    </row>
    <row r="1424" spans="11:30" ht="18" customHeight="1">
      <c r="K1424" t="str">
        <f>IF(OR($I1424="Čaká na integráciu",$J1424="Integrácia"),"ÁNO","")</f>
        <v/>
      </c>
      <c r="L1424" t="str">
        <f>IF(OR($I1424="Čaká na biznis",$J1424="Biznis",$J1424="Švédsky biznis"),"ÁNO","")</f>
        <v/>
      </c>
      <c r="N1424" s="2"/>
      <c r="O1424" s="3"/>
      <c r="Q1424"/>
      <c r="R1424" s="3"/>
      <c r="S1424" s="3"/>
      <c r="T1424"/>
      <c r="U1424"/>
      <c r="V1424"/>
      <c r="W1424"/>
      <c r="Z1424"/>
      <c r="AA1424"/>
      <c r="AD1424"/>
    </row>
    <row r="1425" spans="11:30" ht="18" customHeight="1">
      <c r="K1425" t="str">
        <f>IF(OR($I1425="Čaká na integráciu",$J1425="Integrácia"),"ÁNO","")</f>
        <v/>
      </c>
      <c r="L1425" t="str">
        <f>IF(OR($I1425="Čaká na biznis",$J1425="Biznis",$J1425="Švédsky biznis"),"ÁNO","")</f>
        <v/>
      </c>
      <c r="N1425" s="2"/>
      <c r="O1425" s="3"/>
      <c r="Q1425"/>
      <c r="R1425" s="3"/>
      <c r="S1425" s="3"/>
      <c r="T1425"/>
      <c r="U1425"/>
      <c r="V1425"/>
      <c r="W1425"/>
      <c r="Z1425"/>
      <c r="AA1425"/>
      <c r="AD1425"/>
    </row>
    <row r="1426" spans="11:30" ht="18" customHeight="1">
      <c r="K1426" t="str">
        <f>IF(OR($I1426="Čaká na integráciu",$J1426="Integrácia"),"ÁNO","")</f>
        <v/>
      </c>
      <c r="L1426" t="str">
        <f>IF(OR($I1426="Čaká na biznis",$J1426="Biznis",$J1426="Švédsky biznis"),"ÁNO","")</f>
        <v/>
      </c>
      <c r="N1426" s="2"/>
      <c r="O1426" s="3"/>
      <c r="Q1426"/>
      <c r="R1426" s="3"/>
      <c r="S1426" s="3"/>
      <c r="T1426"/>
      <c r="U1426"/>
      <c r="V1426"/>
      <c r="W1426"/>
      <c r="Z1426"/>
      <c r="AA1426"/>
      <c r="AD1426"/>
    </row>
    <row r="1427" spans="11:30" ht="18" customHeight="1">
      <c r="K1427" t="str">
        <f>IF(OR($I1427="Čaká na integráciu",$J1427="Integrácia"),"ÁNO","")</f>
        <v/>
      </c>
      <c r="L1427" t="str">
        <f>IF(OR($I1427="Čaká na biznis",$J1427="Biznis",$J1427="Švédsky biznis"),"ÁNO","")</f>
        <v/>
      </c>
      <c r="N1427" s="2"/>
      <c r="O1427" s="3"/>
      <c r="Q1427"/>
      <c r="R1427" s="3"/>
      <c r="S1427" s="3"/>
      <c r="T1427"/>
      <c r="U1427"/>
      <c r="V1427"/>
      <c r="W1427"/>
      <c r="Z1427"/>
      <c r="AA1427"/>
      <c r="AD1427"/>
    </row>
    <row r="1428" spans="11:30" ht="18" customHeight="1">
      <c r="K1428" t="str">
        <f>IF(OR($I1428="Čaká na integráciu",$J1428="Integrácia"),"ÁNO","")</f>
        <v/>
      </c>
      <c r="L1428" t="str">
        <f>IF(OR($I1428="Čaká na biznis",$J1428="Biznis",$J1428="Švédsky biznis"),"ÁNO","")</f>
        <v/>
      </c>
      <c r="N1428" s="2"/>
      <c r="O1428" s="3"/>
      <c r="Q1428"/>
      <c r="R1428" s="3"/>
      <c r="S1428" s="3"/>
      <c r="T1428"/>
      <c r="U1428"/>
      <c r="V1428"/>
      <c r="W1428"/>
      <c r="Z1428"/>
      <c r="AA1428"/>
      <c r="AD1428"/>
    </row>
    <row r="1429" spans="11:30" ht="18" customHeight="1">
      <c r="K1429" t="str">
        <f>IF(OR($I1429="Čaká na integráciu",$J1429="Integrácia"),"ÁNO","")</f>
        <v/>
      </c>
      <c r="L1429" t="str">
        <f>IF(OR($I1429="Čaká na biznis",$J1429="Biznis",$J1429="Švédsky biznis"),"ÁNO","")</f>
        <v/>
      </c>
      <c r="N1429" s="2"/>
      <c r="O1429" s="3"/>
      <c r="Q1429"/>
      <c r="R1429" s="3"/>
      <c r="S1429" s="3"/>
      <c r="T1429"/>
      <c r="U1429"/>
      <c r="V1429"/>
      <c r="W1429"/>
      <c r="Z1429"/>
      <c r="AA1429"/>
      <c r="AD1429"/>
    </row>
    <row r="1430" spans="11:30" ht="18" customHeight="1">
      <c r="K1430" t="str">
        <f>IF(OR($I1430="Čaká na integráciu",$J1430="Integrácia"),"ÁNO","")</f>
        <v/>
      </c>
      <c r="L1430" t="str">
        <f>IF(OR($I1430="Čaká na biznis",$J1430="Biznis",$J1430="Švédsky biznis"),"ÁNO","")</f>
        <v/>
      </c>
      <c r="N1430" s="2"/>
      <c r="O1430" s="3"/>
      <c r="Q1430"/>
      <c r="R1430" s="3"/>
      <c r="S1430" s="3"/>
      <c r="T1430"/>
      <c r="U1430"/>
      <c r="V1430"/>
      <c r="W1430"/>
      <c r="Z1430"/>
      <c r="AA1430"/>
      <c r="AD1430"/>
    </row>
    <row r="1431" spans="11:30" ht="18" customHeight="1">
      <c r="K1431" t="str">
        <f>IF(OR($I1431="Čaká na integráciu",$J1431="Integrácia"),"ÁNO","")</f>
        <v/>
      </c>
      <c r="L1431" t="str">
        <f>IF(OR($I1431="Čaká na biznis",$J1431="Biznis",$J1431="Švédsky biznis"),"ÁNO","")</f>
        <v/>
      </c>
      <c r="N1431" s="2"/>
      <c r="O1431" s="3"/>
      <c r="Q1431"/>
      <c r="R1431" s="3"/>
      <c r="S1431" s="3"/>
      <c r="T1431"/>
      <c r="U1431"/>
      <c r="V1431"/>
      <c r="W1431"/>
      <c r="Z1431"/>
      <c r="AA1431"/>
      <c r="AD1431"/>
    </row>
    <row r="1432" spans="11:30" ht="18" customHeight="1">
      <c r="K1432" t="str">
        <f>IF(OR($I1432="Čaká na integráciu",$J1432="Integrácia"),"ÁNO","")</f>
        <v/>
      </c>
      <c r="L1432" t="str">
        <f>IF(OR($I1432="Čaká na biznis",$J1432="Biznis",$J1432="Švédsky biznis"),"ÁNO","")</f>
        <v/>
      </c>
      <c r="N1432" s="2"/>
      <c r="O1432" s="3"/>
      <c r="Q1432"/>
      <c r="R1432" s="3"/>
      <c r="S1432" s="3"/>
      <c r="T1432"/>
      <c r="U1432"/>
      <c r="V1432"/>
      <c r="W1432"/>
      <c r="Z1432"/>
      <c r="AA1432"/>
      <c r="AD1432"/>
    </row>
    <row r="1433" spans="11:30" ht="18" customHeight="1">
      <c r="K1433" t="str">
        <f>IF(OR($I1433="Čaká na integráciu",$J1433="Integrácia"),"ÁNO","")</f>
        <v/>
      </c>
      <c r="L1433" t="str">
        <f>IF(OR($I1433="Čaká na biznis",$J1433="Biznis",$J1433="Švédsky biznis"),"ÁNO","")</f>
        <v/>
      </c>
      <c r="N1433" s="2"/>
      <c r="O1433" s="3"/>
      <c r="Q1433"/>
      <c r="R1433" s="3"/>
      <c r="S1433" s="3"/>
      <c r="T1433"/>
      <c r="U1433"/>
      <c r="V1433"/>
      <c r="W1433"/>
      <c r="Z1433"/>
      <c r="AA1433"/>
      <c r="AD1433"/>
    </row>
    <row r="1434" spans="11:30" ht="18" customHeight="1">
      <c r="K1434" t="str">
        <f>IF(OR($I1434="Čaká na integráciu",$J1434="Integrácia"),"ÁNO","")</f>
        <v/>
      </c>
      <c r="L1434" t="str">
        <f>IF(OR($I1434="Čaká na biznis",$J1434="Biznis",$J1434="Švédsky biznis"),"ÁNO","")</f>
        <v/>
      </c>
      <c r="N1434" s="2"/>
      <c r="O1434" s="3"/>
      <c r="Q1434"/>
      <c r="R1434" s="3"/>
      <c r="S1434" s="3"/>
      <c r="T1434"/>
      <c r="U1434"/>
      <c r="V1434"/>
      <c r="W1434"/>
      <c r="Z1434"/>
      <c r="AA1434"/>
      <c r="AD1434"/>
    </row>
    <row r="1435" spans="11:30" ht="18" customHeight="1">
      <c r="K1435" t="str">
        <f>IF(OR($I1435="Čaká na integráciu",$J1435="Integrácia"),"ÁNO","")</f>
        <v/>
      </c>
      <c r="L1435" t="str">
        <f>IF(OR($I1435="Čaká na biznis",$J1435="Biznis",$J1435="Švédsky biznis"),"ÁNO","")</f>
        <v/>
      </c>
      <c r="N1435" s="2"/>
      <c r="O1435" s="3"/>
      <c r="Q1435"/>
      <c r="R1435" s="3"/>
      <c r="S1435" s="3"/>
      <c r="T1435"/>
      <c r="U1435"/>
      <c r="V1435"/>
      <c r="W1435"/>
      <c r="Z1435"/>
      <c r="AA1435"/>
      <c r="AD1435"/>
    </row>
    <row r="1436" spans="11:30" ht="18" customHeight="1">
      <c r="K1436" t="str">
        <f>IF(OR($I1436="Čaká na integráciu",$J1436="Integrácia"),"ÁNO","")</f>
        <v/>
      </c>
      <c r="L1436" t="str">
        <f>IF(OR($I1436="Čaká na biznis",$J1436="Biznis",$J1436="Švédsky biznis"),"ÁNO","")</f>
        <v/>
      </c>
      <c r="N1436" s="2"/>
      <c r="O1436" s="3"/>
      <c r="Q1436"/>
      <c r="R1436" s="3"/>
      <c r="S1436" s="3"/>
      <c r="T1436"/>
      <c r="U1436"/>
      <c r="V1436"/>
      <c r="W1436"/>
      <c r="Z1436"/>
      <c r="AA1436"/>
      <c r="AD1436"/>
    </row>
    <row r="1437" spans="11:30" ht="18" customHeight="1">
      <c r="K1437" t="str">
        <f>IF(OR($I1437="Čaká na integráciu",$J1437="Integrácia"),"ÁNO","")</f>
        <v/>
      </c>
      <c r="L1437" t="str">
        <f>IF(OR($I1437="Čaká na biznis",$J1437="Biznis",$J1437="Švédsky biznis"),"ÁNO","")</f>
        <v/>
      </c>
      <c r="N1437" s="2"/>
      <c r="O1437" s="3"/>
      <c r="Q1437"/>
      <c r="R1437" s="3"/>
      <c r="S1437" s="3"/>
      <c r="T1437"/>
      <c r="U1437"/>
      <c r="V1437"/>
      <c r="W1437"/>
      <c r="Z1437"/>
      <c r="AA1437"/>
      <c r="AD1437"/>
    </row>
    <row r="1438" spans="11:30" ht="18" customHeight="1">
      <c r="K1438" t="str">
        <f>IF(OR($I1438="Čaká na integráciu",$J1438="Integrácia"),"ÁNO","")</f>
        <v/>
      </c>
      <c r="L1438" t="str">
        <f>IF(OR($I1438="Čaká na biznis",$J1438="Biznis",$J1438="Švédsky biznis"),"ÁNO","")</f>
        <v/>
      </c>
      <c r="N1438" s="2"/>
      <c r="O1438" s="3"/>
      <c r="Q1438"/>
      <c r="R1438" s="3"/>
      <c r="S1438" s="3"/>
      <c r="T1438"/>
      <c r="U1438"/>
      <c r="V1438"/>
      <c r="W1438"/>
      <c r="Z1438"/>
      <c r="AA1438"/>
      <c r="AD1438"/>
    </row>
    <row r="1439" spans="11:30" ht="18" customHeight="1">
      <c r="K1439" t="str">
        <f>IF(OR($I1439="Čaká na integráciu",$J1439="Integrácia"),"ÁNO","")</f>
        <v/>
      </c>
      <c r="L1439" t="str">
        <f>IF(OR($I1439="Čaká na biznis",$J1439="Biznis",$J1439="Švédsky biznis"),"ÁNO","")</f>
        <v/>
      </c>
      <c r="N1439" s="2"/>
      <c r="O1439" s="3"/>
      <c r="Q1439"/>
      <c r="R1439" s="3"/>
      <c r="S1439" s="3"/>
      <c r="T1439"/>
      <c r="U1439"/>
      <c r="V1439"/>
      <c r="W1439"/>
      <c r="Z1439"/>
      <c r="AA1439"/>
      <c r="AD1439"/>
    </row>
    <row r="1440" spans="11:30" ht="18" customHeight="1">
      <c r="K1440" t="str">
        <f>IF(OR($I1440="Čaká na integráciu",$J1440="Integrácia"),"ÁNO","")</f>
        <v/>
      </c>
      <c r="L1440" t="str">
        <f>IF(OR($I1440="Čaká na biznis",$J1440="Biznis",$J1440="Švédsky biznis"),"ÁNO","")</f>
        <v/>
      </c>
      <c r="N1440" s="2"/>
      <c r="O1440" s="3"/>
      <c r="Q1440"/>
      <c r="R1440" s="3"/>
      <c r="S1440" s="3"/>
      <c r="T1440"/>
      <c r="U1440"/>
      <c r="V1440"/>
      <c r="W1440"/>
      <c r="Z1440"/>
      <c r="AA1440"/>
      <c r="AD1440"/>
    </row>
    <row r="1441" spans="11:30" ht="18" customHeight="1">
      <c r="K1441" t="str">
        <f>IF(OR($I1441="Čaká na integráciu",$J1441="Integrácia"),"ÁNO","")</f>
        <v/>
      </c>
      <c r="L1441" t="str">
        <f>IF(OR($I1441="Čaká na biznis",$J1441="Biznis",$J1441="Švédsky biznis"),"ÁNO","")</f>
        <v/>
      </c>
      <c r="N1441" s="2"/>
      <c r="O1441" s="3"/>
      <c r="Q1441"/>
      <c r="R1441" s="3"/>
      <c r="S1441" s="3"/>
      <c r="T1441"/>
      <c r="U1441"/>
      <c r="V1441"/>
      <c r="W1441"/>
      <c r="Z1441"/>
      <c r="AA1441"/>
      <c r="AD1441"/>
    </row>
    <row r="1442" spans="11:30" ht="18" customHeight="1">
      <c r="K1442" t="str">
        <f>IF(OR($I1442="Čaká na integráciu",$J1442="Integrácia"),"ÁNO","")</f>
        <v/>
      </c>
      <c r="L1442" t="str">
        <f>IF(OR($I1442="Čaká na biznis",$J1442="Biznis",$J1442="Švédsky biznis"),"ÁNO","")</f>
        <v/>
      </c>
      <c r="N1442" s="2"/>
      <c r="O1442" s="3"/>
      <c r="Q1442"/>
      <c r="R1442" s="3"/>
      <c r="S1442" s="3"/>
      <c r="T1442"/>
      <c r="U1442"/>
      <c r="V1442"/>
      <c r="W1442"/>
      <c r="Z1442"/>
      <c r="AA1442"/>
      <c r="AD1442"/>
    </row>
    <row r="1443" spans="11:30" ht="18" customHeight="1">
      <c r="K1443" t="str">
        <f>IF(OR($I1443="Čaká na integráciu",$J1443="Integrácia"),"ÁNO","")</f>
        <v/>
      </c>
      <c r="L1443" t="str">
        <f>IF(OR($I1443="Čaká na biznis",$J1443="Biznis",$J1443="Švédsky biznis"),"ÁNO","")</f>
        <v/>
      </c>
      <c r="N1443" s="2"/>
      <c r="O1443" s="3"/>
      <c r="Q1443"/>
      <c r="R1443" s="3"/>
      <c r="S1443" s="3"/>
      <c r="T1443"/>
      <c r="U1443"/>
      <c r="V1443"/>
      <c r="W1443"/>
      <c r="Z1443"/>
      <c r="AA1443"/>
      <c r="AD1443"/>
    </row>
    <row r="1444" spans="11:30" ht="18" customHeight="1">
      <c r="K1444" t="str">
        <f>IF(OR($I1444="Čaká na integráciu",$J1444="Integrácia"),"ÁNO","")</f>
        <v/>
      </c>
      <c r="L1444" t="str">
        <f>IF(OR($I1444="Čaká na biznis",$J1444="Biznis",$J1444="Švédsky biznis"),"ÁNO","")</f>
        <v/>
      </c>
      <c r="N1444" s="2"/>
      <c r="O1444" s="3"/>
      <c r="Q1444"/>
      <c r="R1444" s="3"/>
      <c r="S1444" s="3"/>
      <c r="T1444"/>
      <c r="U1444"/>
      <c r="V1444"/>
      <c r="W1444"/>
      <c r="Z1444"/>
      <c r="AA1444"/>
      <c r="AD1444"/>
    </row>
    <row r="1445" spans="11:30" ht="18" customHeight="1">
      <c r="K1445" t="str">
        <f>IF(OR($I1445="Čaká na integráciu",$J1445="Integrácia"),"ÁNO","")</f>
        <v/>
      </c>
      <c r="L1445" t="str">
        <f>IF(OR($I1445="Čaká na biznis",$J1445="Biznis",$J1445="Švédsky biznis"),"ÁNO","")</f>
        <v/>
      </c>
      <c r="N1445" s="2"/>
      <c r="O1445" s="3"/>
      <c r="Q1445"/>
      <c r="R1445" s="3"/>
      <c r="S1445" s="3"/>
      <c r="T1445"/>
      <c r="U1445"/>
      <c r="V1445"/>
      <c r="W1445"/>
      <c r="Z1445"/>
      <c r="AA1445"/>
      <c r="AD1445"/>
    </row>
    <row r="1446" spans="11:30" ht="18" customHeight="1">
      <c r="K1446" t="str">
        <f>IF(OR($I1446="Čaká na integráciu",$J1446="Integrácia"),"ÁNO","")</f>
        <v/>
      </c>
      <c r="L1446" t="str">
        <f>IF(OR($I1446="Čaká na biznis",$J1446="Biznis",$J1446="Švédsky biznis"),"ÁNO","")</f>
        <v/>
      </c>
      <c r="N1446" s="2"/>
      <c r="O1446" s="3"/>
      <c r="Q1446"/>
      <c r="R1446" s="3"/>
      <c r="S1446" s="3"/>
      <c r="T1446"/>
      <c r="U1446"/>
      <c r="V1446"/>
      <c r="W1446"/>
      <c r="Z1446"/>
      <c r="AA1446"/>
      <c r="AD1446"/>
    </row>
    <row r="1447" spans="11:30" ht="18" customHeight="1">
      <c r="K1447" t="str">
        <f>IF(OR($I1447="Čaká na integráciu",$J1447="Integrácia"),"ÁNO","")</f>
        <v/>
      </c>
      <c r="L1447" t="str">
        <f>IF(OR($I1447="Čaká na biznis",$J1447="Biznis",$J1447="Švédsky biznis"),"ÁNO","")</f>
        <v/>
      </c>
      <c r="N1447" s="2"/>
      <c r="O1447" s="3"/>
      <c r="Q1447"/>
      <c r="R1447" s="3"/>
      <c r="S1447" s="3"/>
      <c r="T1447"/>
      <c r="U1447"/>
      <c r="V1447"/>
      <c r="W1447"/>
      <c r="Z1447"/>
      <c r="AA1447"/>
      <c r="AD1447"/>
    </row>
    <row r="1448" spans="11:30" ht="18" customHeight="1">
      <c r="K1448" t="str">
        <f>IF(OR($I1448="Čaká na integráciu",$J1448="Integrácia"),"ÁNO","")</f>
        <v/>
      </c>
      <c r="L1448" t="str">
        <f>IF(OR($I1448="Čaká na biznis",$J1448="Biznis",$J1448="Švédsky biznis"),"ÁNO","")</f>
        <v/>
      </c>
      <c r="N1448" s="2"/>
      <c r="O1448" s="3"/>
      <c r="Q1448"/>
      <c r="R1448" s="3"/>
      <c r="S1448" s="3"/>
      <c r="T1448"/>
      <c r="U1448"/>
      <c r="V1448"/>
      <c r="W1448"/>
      <c r="Z1448"/>
      <c r="AA1448"/>
      <c r="AD1448"/>
    </row>
    <row r="1449" spans="11:30" ht="18" customHeight="1">
      <c r="K1449" t="str">
        <f>IF(OR($I1449="Čaká na integráciu",$J1449="Integrácia"),"ÁNO","")</f>
        <v/>
      </c>
      <c r="L1449" t="str">
        <f>IF(OR($I1449="Čaká na biznis",$J1449="Biznis",$J1449="Švédsky biznis"),"ÁNO","")</f>
        <v/>
      </c>
      <c r="N1449" s="2"/>
      <c r="O1449" s="3"/>
      <c r="Q1449"/>
      <c r="R1449" s="3"/>
      <c r="S1449" s="3"/>
      <c r="T1449"/>
      <c r="U1449"/>
      <c r="V1449"/>
      <c r="W1449"/>
      <c r="Z1449"/>
      <c r="AA1449"/>
      <c r="AD1449"/>
    </row>
    <row r="1450" spans="11:30" ht="18" customHeight="1">
      <c r="K1450" t="str">
        <f>IF(OR($I1450="Čaká na integráciu",$J1450="Integrácia"),"ÁNO","")</f>
        <v/>
      </c>
      <c r="L1450" t="str">
        <f>IF(OR($I1450="Čaká na biznis",$J1450="Biznis",$J1450="Švédsky biznis"),"ÁNO","")</f>
        <v/>
      </c>
      <c r="N1450" s="2"/>
      <c r="O1450" s="3"/>
      <c r="Q1450"/>
      <c r="R1450" s="3"/>
      <c r="S1450" s="3"/>
      <c r="T1450"/>
      <c r="U1450"/>
      <c r="V1450"/>
      <c r="W1450"/>
      <c r="Z1450"/>
      <c r="AA1450"/>
      <c r="AD1450"/>
    </row>
    <row r="1451" spans="11:30" ht="18" customHeight="1">
      <c r="K1451" t="str">
        <f>IF(OR($I1451="Čaká na integráciu",$J1451="Integrácia"),"ÁNO","")</f>
        <v/>
      </c>
      <c r="L1451" t="str">
        <f>IF(OR($I1451="Čaká na biznis",$J1451="Biznis",$J1451="Švédsky biznis"),"ÁNO","")</f>
        <v/>
      </c>
      <c r="N1451" s="2"/>
      <c r="O1451" s="3"/>
      <c r="Q1451"/>
      <c r="R1451" s="3"/>
      <c r="S1451" s="3"/>
      <c r="T1451"/>
      <c r="U1451"/>
      <c r="V1451"/>
      <c r="W1451"/>
      <c r="Z1451"/>
      <c r="AA1451"/>
      <c r="AD1451"/>
    </row>
    <row r="1452" spans="11:30" ht="18" customHeight="1">
      <c r="K1452" t="str">
        <f>IF(OR($I1452="Čaká na integráciu",$J1452="Integrácia"),"ÁNO","")</f>
        <v/>
      </c>
      <c r="L1452" t="str">
        <f>IF(OR($I1452="Čaká na biznis",$J1452="Biznis",$J1452="Švédsky biznis"),"ÁNO","")</f>
        <v/>
      </c>
      <c r="N1452" s="2"/>
      <c r="O1452" s="3"/>
      <c r="Q1452"/>
      <c r="R1452" s="3"/>
      <c r="S1452" s="3"/>
      <c r="T1452"/>
      <c r="U1452"/>
      <c r="V1452"/>
      <c r="W1452"/>
      <c r="Z1452"/>
      <c r="AA1452"/>
      <c r="AD1452"/>
    </row>
    <row r="1453" spans="11:30" ht="18" customHeight="1">
      <c r="K1453" t="str">
        <f>IF(OR($I1453="Čaká na integráciu",$J1453="Integrácia"),"ÁNO","")</f>
        <v/>
      </c>
      <c r="L1453" t="str">
        <f>IF(OR($I1453="Čaká na biznis",$J1453="Biznis",$J1453="Švédsky biznis"),"ÁNO","")</f>
        <v/>
      </c>
      <c r="N1453" s="2"/>
      <c r="O1453" s="3"/>
      <c r="Q1453"/>
      <c r="R1453" s="3"/>
      <c r="S1453" s="3"/>
      <c r="T1453"/>
      <c r="U1453"/>
      <c r="V1453"/>
      <c r="W1453"/>
      <c r="Z1453"/>
      <c r="AA1453"/>
      <c r="AD1453"/>
    </row>
    <row r="1454" spans="11:30" ht="18" customHeight="1">
      <c r="K1454" t="str">
        <f>IF(OR($I1454="Čaká na integráciu",$J1454="Integrácia"),"ÁNO","")</f>
        <v/>
      </c>
      <c r="L1454" t="str">
        <f>IF(OR($I1454="Čaká na biznis",$J1454="Biznis",$J1454="Švédsky biznis"),"ÁNO","")</f>
        <v/>
      </c>
      <c r="N1454" s="2"/>
      <c r="O1454" s="3"/>
      <c r="Q1454"/>
      <c r="R1454" s="3"/>
      <c r="S1454" s="3"/>
      <c r="T1454"/>
      <c r="U1454"/>
      <c r="V1454"/>
      <c r="W1454"/>
      <c r="Z1454"/>
      <c r="AA1454"/>
      <c r="AD1454"/>
    </row>
    <row r="1455" spans="11:30" ht="18" customHeight="1">
      <c r="K1455" t="str">
        <f>IF(OR($I1455="Čaká na integráciu",$J1455="Integrácia"),"ÁNO","")</f>
        <v/>
      </c>
      <c r="L1455" t="str">
        <f>IF(OR($I1455="Čaká na biznis",$J1455="Biznis",$J1455="Švédsky biznis"),"ÁNO","")</f>
        <v/>
      </c>
      <c r="N1455" s="2"/>
      <c r="O1455" s="3"/>
      <c r="Q1455"/>
      <c r="R1455" s="3"/>
      <c r="S1455" s="3"/>
      <c r="T1455"/>
      <c r="U1455"/>
      <c r="V1455"/>
      <c r="W1455"/>
      <c r="Z1455"/>
      <c r="AA1455"/>
      <c r="AD1455"/>
    </row>
    <row r="1456" spans="11:30" ht="18" customHeight="1">
      <c r="K1456" t="str">
        <f>IF(OR($I1456="Čaká na integráciu",$J1456="Integrácia"),"ÁNO","")</f>
        <v/>
      </c>
      <c r="L1456" t="str">
        <f>IF(OR($I1456="Čaká na biznis",$J1456="Biznis",$J1456="Švédsky biznis"),"ÁNO","")</f>
        <v/>
      </c>
      <c r="N1456" s="2"/>
      <c r="O1456" s="3"/>
      <c r="Q1456"/>
      <c r="R1456" s="3"/>
      <c r="S1456" s="3"/>
      <c r="T1456"/>
      <c r="U1456"/>
      <c r="V1456"/>
      <c r="W1456"/>
      <c r="Z1456"/>
      <c r="AA1456"/>
      <c r="AD1456"/>
    </row>
    <row r="1457" spans="11:30" ht="18" customHeight="1">
      <c r="K1457" t="str">
        <f>IF(OR($I1457="Čaká na integráciu",$J1457="Integrácia"),"ÁNO","")</f>
        <v/>
      </c>
      <c r="L1457" t="str">
        <f>IF(OR($I1457="Čaká na biznis",$J1457="Biznis",$J1457="Švédsky biznis"),"ÁNO","")</f>
        <v/>
      </c>
      <c r="N1457" s="2"/>
      <c r="O1457" s="3"/>
      <c r="Q1457"/>
      <c r="R1457" s="3"/>
      <c r="S1457" s="3"/>
      <c r="T1457"/>
      <c r="U1457"/>
      <c r="V1457"/>
      <c r="W1457"/>
      <c r="Z1457"/>
      <c r="AA1457"/>
      <c r="AD1457"/>
    </row>
    <row r="1458" spans="11:30" ht="18" customHeight="1">
      <c r="K1458" t="str">
        <f>IF(OR($I1458="Čaká na integráciu",$J1458="Integrácia"),"ÁNO","")</f>
        <v/>
      </c>
      <c r="L1458" t="str">
        <f>IF(OR($I1458="Čaká na biznis",$J1458="Biznis",$J1458="Švédsky biznis"),"ÁNO","")</f>
        <v/>
      </c>
      <c r="N1458" s="2"/>
      <c r="O1458" s="3"/>
      <c r="Q1458"/>
      <c r="R1458" s="3"/>
      <c r="S1458" s="3"/>
      <c r="T1458"/>
      <c r="U1458"/>
      <c r="V1458"/>
      <c r="W1458"/>
      <c r="Z1458"/>
      <c r="AA1458"/>
      <c r="AD1458"/>
    </row>
    <row r="1459" spans="11:30" ht="18" customHeight="1">
      <c r="K1459" t="str">
        <f>IF(OR($I1459="Čaká na integráciu",$J1459="Integrácia"),"ÁNO","")</f>
        <v/>
      </c>
      <c r="L1459" t="str">
        <f>IF(OR($I1459="Čaká na biznis",$J1459="Biznis",$J1459="Švédsky biznis"),"ÁNO","")</f>
        <v/>
      </c>
      <c r="N1459" s="2"/>
      <c r="O1459" s="3"/>
      <c r="Q1459"/>
      <c r="R1459" s="3"/>
      <c r="S1459" s="3"/>
      <c r="T1459"/>
      <c r="U1459"/>
      <c r="V1459"/>
      <c r="W1459"/>
      <c r="Z1459"/>
      <c r="AA1459"/>
      <c r="AD1459"/>
    </row>
    <row r="1460" spans="11:30" ht="18" customHeight="1">
      <c r="K1460" t="str">
        <f>IF(OR($I1460="Čaká na integráciu",$J1460="Integrácia"),"ÁNO","")</f>
        <v/>
      </c>
      <c r="L1460" t="str">
        <f>IF(OR($I1460="Čaká na biznis",$J1460="Biznis",$J1460="Švédsky biznis"),"ÁNO","")</f>
        <v/>
      </c>
      <c r="N1460" s="2"/>
      <c r="O1460" s="3"/>
      <c r="Q1460"/>
      <c r="R1460" s="3"/>
      <c r="S1460" s="3"/>
      <c r="T1460"/>
      <c r="U1460"/>
      <c r="V1460"/>
      <c r="W1460"/>
      <c r="Z1460"/>
      <c r="AA1460"/>
      <c r="AD1460"/>
    </row>
    <row r="1461" spans="11:30" ht="18" customHeight="1">
      <c r="K1461" t="str">
        <f>IF(OR($I1461="Čaká na integráciu",$J1461="Integrácia"),"ÁNO","")</f>
        <v/>
      </c>
      <c r="L1461" t="str">
        <f>IF(OR($I1461="Čaká na biznis",$J1461="Biznis",$J1461="Švédsky biznis"),"ÁNO","")</f>
        <v/>
      </c>
      <c r="N1461" s="2"/>
      <c r="O1461" s="3"/>
      <c r="Q1461"/>
      <c r="R1461" s="3"/>
      <c r="S1461" s="3"/>
      <c r="T1461"/>
      <c r="U1461"/>
      <c r="V1461"/>
      <c r="W1461"/>
      <c r="Z1461"/>
      <c r="AA1461"/>
      <c r="AD1461"/>
    </row>
    <row r="1462" spans="11:30" ht="18" customHeight="1">
      <c r="K1462" t="str">
        <f>IF(OR($I1462="Čaká na integráciu",$J1462="Integrácia"),"ÁNO","")</f>
        <v/>
      </c>
      <c r="L1462" t="str">
        <f>IF(OR($I1462="Čaká na biznis",$J1462="Biznis",$J1462="Švédsky biznis"),"ÁNO","")</f>
        <v/>
      </c>
      <c r="N1462" s="2"/>
      <c r="O1462" s="3"/>
      <c r="Q1462"/>
      <c r="R1462" s="3"/>
      <c r="S1462" s="3"/>
      <c r="T1462"/>
      <c r="U1462"/>
      <c r="V1462"/>
      <c r="W1462"/>
      <c r="Z1462"/>
      <c r="AA1462"/>
      <c r="AD1462"/>
    </row>
    <row r="1463" spans="11:30" ht="18" customHeight="1">
      <c r="K1463" t="str">
        <f>IF(OR($I1463="Čaká na integráciu",$J1463="Integrácia"),"ÁNO","")</f>
        <v/>
      </c>
      <c r="L1463" t="str">
        <f>IF(OR($I1463="Čaká na biznis",$J1463="Biznis",$J1463="Švédsky biznis"),"ÁNO","")</f>
        <v/>
      </c>
      <c r="N1463" s="2"/>
      <c r="O1463" s="3"/>
      <c r="Q1463"/>
      <c r="R1463" s="3"/>
      <c r="S1463" s="3"/>
      <c r="T1463"/>
      <c r="U1463"/>
      <c r="V1463"/>
      <c r="W1463"/>
      <c r="Z1463"/>
      <c r="AA1463"/>
      <c r="AD1463"/>
    </row>
    <row r="1464" spans="11:30" ht="18" customHeight="1">
      <c r="K1464" t="str">
        <f>IF(OR($I1464="Čaká na integráciu",$J1464="Integrácia"),"ÁNO","")</f>
        <v/>
      </c>
      <c r="L1464" t="str">
        <f>IF(OR($I1464="Čaká na biznis",$J1464="Biznis",$J1464="Švédsky biznis"),"ÁNO","")</f>
        <v/>
      </c>
      <c r="N1464" s="2"/>
      <c r="O1464" s="3"/>
      <c r="Q1464"/>
      <c r="R1464" s="3"/>
      <c r="S1464" s="3"/>
      <c r="T1464"/>
      <c r="U1464"/>
      <c r="V1464"/>
      <c r="W1464"/>
      <c r="Z1464"/>
      <c r="AA1464"/>
      <c r="AD1464"/>
    </row>
    <row r="1465" spans="11:30" ht="18" customHeight="1">
      <c r="K1465" t="str">
        <f>IF(OR($I1465="Čaká na integráciu",$J1465="Integrácia"),"ÁNO","")</f>
        <v/>
      </c>
      <c r="L1465" t="str">
        <f>IF(OR($I1465="Čaká na biznis",$J1465="Biznis",$J1465="Švédsky biznis"),"ÁNO","")</f>
        <v/>
      </c>
      <c r="N1465" s="2"/>
      <c r="O1465" s="3"/>
      <c r="Q1465"/>
      <c r="R1465" s="3"/>
      <c r="S1465" s="3"/>
      <c r="T1465"/>
      <c r="U1465"/>
      <c r="V1465"/>
      <c r="W1465"/>
      <c r="Z1465"/>
      <c r="AA1465"/>
      <c r="AD1465"/>
    </row>
    <row r="1466" spans="11:30" ht="18" customHeight="1">
      <c r="K1466" t="str">
        <f>IF(OR($I1466="Čaká na integráciu",$J1466="Integrácia"),"ÁNO","")</f>
        <v/>
      </c>
      <c r="L1466" t="str">
        <f>IF(OR($I1466="Čaká na biznis",$J1466="Biznis",$J1466="Švédsky biznis"),"ÁNO","")</f>
        <v/>
      </c>
      <c r="N1466" s="2"/>
      <c r="O1466" s="3"/>
      <c r="Q1466"/>
      <c r="R1466" s="3"/>
      <c r="S1466" s="3"/>
      <c r="T1466"/>
      <c r="U1466"/>
      <c r="V1466"/>
      <c r="W1466"/>
      <c r="Z1466"/>
      <c r="AA1466"/>
      <c r="AD1466"/>
    </row>
    <row r="1467" spans="11:30" ht="18" customHeight="1">
      <c r="K1467" t="str">
        <f>IF(OR($I1467="Čaká na integráciu",$J1467="Integrácia"),"ÁNO","")</f>
        <v/>
      </c>
      <c r="L1467" t="str">
        <f>IF(OR($I1467="Čaká na biznis",$J1467="Biznis",$J1467="Švédsky biznis"),"ÁNO","")</f>
        <v/>
      </c>
      <c r="N1467" s="2"/>
      <c r="O1467" s="3"/>
      <c r="Q1467"/>
      <c r="R1467" s="3"/>
      <c r="S1467" s="3"/>
      <c r="T1467"/>
      <c r="U1467"/>
      <c r="V1467"/>
      <c r="W1467"/>
      <c r="Z1467"/>
      <c r="AA1467"/>
      <c r="AD1467"/>
    </row>
    <row r="1468" spans="11:30" ht="18" customHeight="1">
      <c r="K1468" t="str">
        <f>IF(OR($I1468="Čaká na integráciu",$J1468="Integrácia"),"ÁNO","")</f>
        <v/>
      </c>
      <c r="L1468" t="str">
        <f>IF(OR($I1468="Čaká na biznis",$J1468="Biznis",$J1468="Švédsky biznis"),"ÁNO","")</f>
        <v/>
      </c>
      <c r="N1468" s="2"/>
      <c r="O1468" s="3"/>
      <c r="Q1468"/>
      <c r="R1468" s="3"/>
      <c r="S1468" s="3"/>
      <c r="T1468"/>
      <c r="U1468"/>
      <c r="V1468"/>
      <c r="W1468"/>
      <c r="Z1468"/>
      <c r="AA1468"/>
      <c r="AD1468"/>
    </row>
    <row r="1469" spans="11:30" ht="18" customHeight="1">
      <c r="K1469" t="str">
        <f>IF(OR($I1469="Čaká na integráciu",$J1469="Integrácia"),"ÁNO","")</f>
        <v/>
      </c>
      <c r="L1469" t="str">
        <f>IF(OR($I1469="Čaká na biznis",$J1469="Biznis",$J1469="Švédsky biznis"),"ÁNO","")</f>
        <v/>
      </c>
      <c r="N1469" s="2"/>
      <c r="O1469" s="3"/>
      <c r="Q1469"/>
      <c r="R1469" s="3"/>
      <c r="S1469" s="3"/>
      <c r="T1469"/>
      <c r="U1469"/>
      <c r="V1469"/>
      <c r="W1469"/>
      <c r="Z1469"/>
      <c r="AA1469"/>
      <c r="AD1469"/>
    </row>
    <row r="1470" spans="11:30" ht="18" customHeight="1">
      <c r="K1470" t="str">
        <f>IF(OR($I1470="Čaká na integráciu",$J1470="Integrácia"),"ÁNO","")</f>
        <v/>
      </c>
      <c r="L1470" t="str">
        <f>IF(OR($I1470="Čaká na biznis",$J1470="Biznis",$J1470="Švédsky biznis"),"ÁNO","")</f>
        <v/>
      </c>
      <c r="N1470" s="2"/>
      <c r="O1470" s="3"/>
      <c r="Q1470"/>
      <c r="R1470" s="3"/>
      <c r="S1470" s="3"/>
      <c r="T1470"/>
      <c r="U1470"/>
      <c r="V1470"/>
      <c r="W1470"/>
      <c r="Z1470"/>
      <c r="AA1470"/>
      <c r="AD1470"/>
    </row>
    <row r="1471" spans="11:30" ht="18" customHeight="1">
      <c r="K1471" t="str">
        <f>IF(OR($I1471="Čaká na integráciu",$J1471="Integrácia"),"ÁNO","")</f>
        <v/>
      </c>
      <c r="L1471" t="str">
        <f>IF(OR($I1471="Čaká na biznis",$J1471="Biznis",$J1471="Švédsky biznis"),"ÁNO","")</f>
        <v/>
      </c>
      <c r="N1471" s="2"/>
      <c r="O1471" s="3"/>
      <c r="Q1471"/>
      <c r="R1471" s="3"/>
      <c r="S1471" s="3"/>
      <c r="T1471"/>
      <c r="U1471"/>
      <c r="V1471"/>
      <c r="W1471"/>
      <c r="Z1471"/>
      <c r="AA1471"/>
      <c r="AD1471"/>
    </row>
    <row r="1472" spans="11:30" ht="18" customHeight="1">
      <c r="K1472" t="str">
        <f>IF(OR($I1472="Čaká na integráciu",$J1472="Integrácia"),"ÁNO","")</f>
        <v/>
      </c>
      <c r="L1472" t="str">
        <f>IF(OR($I1472="Čaká na biznis",$J1472="Biznis",$J1472="Švédsky biznis"),"ÁNO","")</f>
        <v/>
      </c>
      <c r="N1472" s="2"/>
      <c r="O1472" s="3"/>
      <c r="Q1472"/>
      <c r="R1472" s="3"/>
      <c r="S1472" s="3"/>
      <c r="T1472"/>
      <c r="U1472"/>
      <c r="V1472"/>
      <c r="W1472"/>
      <c r="Z1472"/>
      <c r="AA1472"/>
      <c r="AD1472"/>
    </row>
    <row r="1473" spans="11:30" ht="18" customHeight="1">
      <c r="K1473" t="str">
        <f>IF(OR($I1473="Čaká na integráciu",$J1473="Integrácia"),"ÁNO","")</f>
        <v/>
      </c>
      <c r="L1473" t="str">
        <f>IF(OR($I1473="Čaká na biznis",$J1473="Biznis",$J1473="Švédsky biznis"),"ÁNO","")</f>
        <v/>
      </c>
      <c r="N1473" s="2"/>
      <c r="O1473" s="3"/>
      <c r="Q1473"/>
      <c r="R1473" s="3"/>
      <c r="S1473" s="3"/>
      <c r="T1473"/>
      <c r="U1473"/>
      <c r="V1473"/>
      <c r="W1473"/>
      <c r="Z1473"/>
      <c r="AA1473"/>
      <c r="AD1473"/>
    </row>
    <row r="1474" spans="11:30" ht="18" customHeight="1">
      <c r="K1474" t="str">
        <f>IF(OR($I1474="Čaká na integráciu",$J1474="Integrácia"),"ÁNO","")</f>
        <v/>
      </c>
      <c r="L1474" t="str">
        <f>IF(OR($I1474="Čaká na biznis",$J1474="Biznis",$J1474="Švédsky biznis"),"ÁNO","")</f>
        <v/>
      </c>
      <c r="N1474" s="2"/>
      <c r="O1474" s="3"/>
      <c r="Q1474"/>
      <c r="R1474" s="3"/>
      <c r="S1474" s="3"/>
      <c r="T1474"/>
      <c r="U1474"/>
      <c r="V1474"/>
      <c r="W1474"/>
      <c r="Z1474"/>
      <c r="AA1474"/>
      <c r="AD1474"/>
    </row>
    <row r="1475" spans="11:30" ht="18" customHeight="1">
      <c r="K1475" t="str">
        <f>IF(OR($I1475="Čaká na integráciu",$J1475="Integrácia"),"ÁNO","")</f>
        <v/>
      </c>
      <c r="L1475" t="str">
        <f>IF(OR($I1475="Čaká na biznis",$J1475="Biznis",$J1475="Švédsky biznis"),"ÁNO","")</f>
        <v/>
      </c>
      <c r="N1475" s="2"/>
      <c r="O1475" s="3"/>
      <c r="Q1475"/>
      <c r="R1475" s="3"/>
      <c r="S1475" s="3"/>
      <c r="T1475"/>
      <c r="U1475"/>
      <c r="V1475"/>
      <c r="W1475"/>
      <c r="Z1475"/>
      <c r="AA1475"/>
      <c r="AD1475"/>
    </row>
    <row r="1476" spans="11:30" ht="18" customHeight="1">
      <c r="K1476" t="str">
        <f>IF(OR($I1476="Čaká na integráciu",$J1476="Integrácia"),"ÁNO","")</f>
        <v/>
      </c>
      <c r="L1476" t="str">
        <f>IF(OR($I1476="Čaká na biznis",$J1476="Biznis",$J1476="Švédsky biznis"),"ÁNO","")</f>
        <v/>
      </c>
      <c r="N1476" s="2"/>
      <c r="O1476" s="3"/>
      <c r="Q1476"/>
      <c r="R1476" s="3"/>
      <c r="S1476" s="3"/>
      <c r="T1476"/>
      <c r="U1476"/>
      <c r="V1476"/>
      <c r="W1476"/>
      <c r="Z1476"/>
      <c r="AA1476"/>
      <c r="AD1476"/>
    </row>
    <row r="1477" spans="11:30" ht="18" customHeight="1">
      <c r="K1477" t="str">
        <f>IF(OR($I1477="Čaká na integráciu",$J1477="Integrácia"),"ÁNO","")</f>
        <v/>
      </c>
      <c r="L1477" t="str">
        <f>IF(OR($I1477="Čaká na biznis",$J1477="Biznis",$J1477="Švédsky biznis"),"ÁNO","")</f>
        <v/>
      </c>
      <c r="N1477" s="2"/>
      <c r="O1477" s="3"/>
      <c r="Q1477"/>
      <c r="R1477" s="3"/>
      <c r="S1477" s="3"/>
      <c r="T1477"/>
      <c r="U1477"/>
      <c r="V1477"/>
      <c r="W1477"/>
      <c r="Z1477"/>
      <c r="AA1477"/>
      <c r="AD1477"/>
    </row>
    <row r="1478" spans="11:30" ht="18" customHeight="1">
      <c r="K1478" t="str">
        <f>IF(OR($I1478="Čaká na integráciu",$J1478="Integrácia"),"ÁNO","")</f>
        <v/>
      </c>
      <c r="L1478" t="str">
        <f>IF(OR($I1478="Čaká na biznis",$J1478="Biznis",$J1478="Švédsky biznis"),"ÁNO","")</f>
        <v/>
      </c>
      <c r="N1478" s="2"/>
      <c r="O1478" s="3"/>
      <c r="Q1478"/>
      <c r="R1478" s="3"/>
      <c r="S1478" s="3"/>
      <c r="T1478"/>
      <c r="U1478"/>
      <c r="V1478"/>
      <c r="W1478"/>
      <c r="Z1478"/>
      <c r="AA1478"/>
      <c r="AD1478"/>
    </row>
    <row r="1479" spans="11:30" ht="18" customHeight="1">
      <c r="K1479" t="str">
        <f>IF(OR($I1479="Čaká na integráciu",$J1479="Integrácia"),"ÁNO","")</f>
        <v/>
      </c>
      <c r="L1479" t="str">
        <f>IF(OR($I1479="Čaká na biznis",$J1479="Biznis",$J1479="Švédsky biznis"),"ÁNO","")</f>
        <v/>
      </c>
      <c r="N1479" s="2"/>
      <c r="O1479" s="3"/>
      <c r="Q1479"/>
      <c r="R1479" s="3"/>
      <c r="S1479" s="3"/>
      <c r="T1479"/>
      <c r="U1479"/>
      <c r="V1479"/>
      <c r="W1479"/>
      <c r="Z1479"/>
      <c r="AA1479"/>
      <c r="AD1479"/>
    </row>
    <row r="1480" spans="11:30" ht="18" customHeight="1">
      <c r="K1480" t="str">
        <f>IF(OR($I1480="Čaká na integráciu",$J1480="Integrácia"),"ÁNO","")</f>
        <v/>
      </c>
      <c r="L1480" t="str">
        <f>IF(OR($I1480="Čaká na biznis",$J1480="Biznis",$J1480="Švédsky biznis"),"ÁNO","")</f>
        <v/>
      </c>
      <c r="N1480" s="2"/>
      <c r="O1480" s="3"/>
      <c r="Q1480"/>
      <c r="R1480" s="3"/>
      <c r="S1480" s="3"/>
      <c r="T1480"/>
      <c r="U1480"/>
      <c r="V1480"/>
      <c r="W1480"/>
      <c r="Z1480"/>
      <c r="AA1480"/>
      <c r="AD1480"/>
    </row>
    <row r="1481" spans="11:30" ht="18" customHeight="1">
      <c r="K1481" t="str">
        <f>IF(OR($I1481="Čaká na integráciu",$J1481="Integrácia"),"ÁNO","")</f>
        <v/>
      </c>
      <c r="L1481" t="str">
        <f>IF(OR($I1481="Čaká na biznis",$J1481="Biznis",$J1481="Švédsky biznis"),"ÁNO","")</f>
        <v/>
      </c>
      <c r="N1481" s="2"/>
      <c r="O1481" s="3"/>
      <c r="Q1481"/>
      <c r="R1481" s="3"/>
      <c r="S1481" s="3"/>
      <c r="T1481"/>
      <c r="U1481"/>
      <c r="V1481"/>
      <c r="W1481"/>
      <c r="Z1481"/>
      <c r="AA1481"/>
      <c r="AD1481"/>
    </row>
    <row r="1482" spans="11:30" ht="18" customHeight="1">
      <c r="K1482" t="str">
        <f>IF(OR($I1482="Čaká na integráciu",$J1482="Integrácia"),"ÁNO","")</f>
        <v/>
      </c>
      <c r="L1482" t="str">
        <f>IF(OR($I1482="Čaká na biznis",$J1482="Biznis",$J1482="Švédsky biznis"),"ÁNO","")</f>
        <v/>
      </c>
      <c r="N1482" s="2"/>
      <c r="O1482" s="3"/>
      <c r="Q1482"/>
      <c r="R1482" s="3"/>
      <c r="S1482" s="3"/>
      <c r="T1482"/>
      <c r="U1482"/>
      <c r="V1482"/>
      <c r="W1482"/>
      <c r="Z1482"/>
      <c r="AA1482"/>
      <c r="AD1482"/>
    </row>
    <row r="1483" spans="11:30" ht="18" customHeight="1">
      <c r="K1483" t="str">
        <f>IF(OR($I1483="Čaká na integráciu",$J1483="Integrácia"),"ÁNO","")</f>
        <v/>
      </c>
      <c r="L1483" t="str">
        <f>IF(OR($I1483="Čaká na biznis",$J1483="Biznis",$J1483="Švédsky biznis"),"ÁNO","")</f>
        <v/>
      </c>
      <c r="N1483" s="2"/>
      <c r="O1483" s="3"/>
      <c r="Q1483"/>
      <c r="R1483" s="3"/>
      <c r="S1483" s="3"/>
      <c r="T1483"/>
      <c r="U1483"/>
      <c r="V1483"/>
      <c r="W1483"/>
      <c r="Z1483"/>
      <c r="AA1483"/>
      <c r="AD1483"/>
    </row>
    <row r="1484" spans="11:30" ht="18" customHeight="1">
      <c r="K1484" t="str">
        <f>IF(OR($I1484="Čaká na integráciu",$J1484="Integrácia"),"ÁNO","")</f>
        <v/>
      </c>
      <c r="L1484" t="str">
        <f>IF(OR($I1484="Čaká na biznis",$J1484="Biznis",$J1484="Švédsky biznis"),"ÁNO","")</f>
        <v/>
      </c>
      <c r="N1484" s="2"/>
      <c r="O1484" s="3"/>
      <c r="Q1484"/>
      <c r="R1484" s="3"/>
      <c r="S1484" s="3"/>
      <c r="T1484"/>
      <c r="U1484"/>
      <c r="V1484"/>
      <c r="W1484"/>
      <c r="Z1484"/>
      <c r="AA1484"/>
      <c r="AD1484"/>
    </row>
    <row r="1485" spans="11:30" ht="18" customHeight="1">
      <c r="K1485" t="str">
        <f>IF(OR($I1485="Čaká na integráciu",$J1485="Integrácia"),"ÁNO","")</f>
        <v/>
      </c>
      <c r="L1485" t="str">
        <f>IF(OR($I1485="Čaká na biznis",$J1485="Biznis",$J1485="Švédsky biznis"),"ÁNO","")</f>
        <v/>
      </c>
      <c r="N1485" s="2"/>
      <c r="O1485" s="3"/>
      <c r="Q1485"/>
      <c r="R1485" s="3"/>
      <c r="S1485" s="3"/>
      <c r="T1485"/>
      <c r="U1485"/>
      <c r="V1485"/>
      <c r="W1485"/>
      <c r="Z1485"/>
      <c r="AA1485"/>
      <c r="AD1485"/>
    </row>
    <row r="1486" spans="11:30" ht="18" customHeight="1">
      <c r="K1486" t="str">
        <f>IF(OR($I1486="Čaká na integráciu",$J1486="Integrácia"),"ÁNO","")</f>
        <v/>
      </c>
      <c r="L1486" t="str">
        <f>IF(OR($I1486="Čaká na biznis",$J1486="Biznis",$J1486="Švédsky biznis"),"ÁNO","")</f>
        <v/>
      </c>
      <c r="N1486" s="2"/>
      <c r="O1486" s="3"/>
      <c r="Q1486"/>
      <c r="R1486" s="3"/>
      <c r="S1486" s="3"/>
      <c r="T1486"/>
      <c r="U1486"/>
      <c r="V1486"/>
      <c r="W1486"/>
      <c r="Z1486"/>
      <c r="AA1486"/>
      <c r="AD1486"/>
    </row>
    <row r="1487" spans="11:30" ht="18" customHeight="1">
      <c r="K1487" t="str">
        <f>IF(OR($I1487="Čaká na integráciu",$J1487="Integrácia"),"ÁNO","")</f>
        <v/>
      </c>
      <c r="L1487" t="str">
        <f>IF(OR($I1487="Čaká na biznis",$J1487="Biznis",$J1487="Švédsky biznis"),"ÁNO","")</f>
        <v/>
      </c>
      <c r="N1487" s="2"/>
      <c r="O1487" s="3"/>
      <c r="Q1487"/>
      <c r="R1487" s="3"/>
      <c r="S1487" s="3"/>
      <c r="T1487"/>
      <c r="U1487"/>
      <c r="V1487"/>
      <c r="W1487"/>
      <c r="Z1487"/>
      <c r="AA1487"/>
      <c r="AD1487"/>
    </row>
    <row r="1488" spans="11:30" ht="18" customHeight="1">
      <c r="K1488" t="str">
        <f>IF(OR($I1488="Čaká na integráciu",$J1488="Integrácia"),"ÁNO","")</f>
        <v/>
      </c>
      <c r="L1488" t="str">
        <f>IF(OR($I1488="Čaká na biznis",$J1488="Biznis",$J1488="Švédsky biznis"),"ÁNO","")</f>
        <v/>
      </c>
      <c r="N1488" s="2"/>
      <c r="O1488" s="3"/>
      <c r="Q1488"/>
      <c r="R1488" s="3"/>
      <c r="S1488" s="3"/>
      <c r="T1488"/>
      <c r="U1488"/>
      <c r="V1488"/>
      <c r="W1488"/>
      <c r="Z1488"/>
      <c r="AA1488"/>
      <c r="AD1488"/>
    </row>
    <row r="1489" spans="11:30" ht="18" customHeight="1">
      <c r="K1489" t="str">
        <f>IF(OR($I1489="Čaká na integráciu",$J1489="Integrácia"),"ÁNO","")</f>
        <v/>
      </c>
      <c r="L1489" t="str">
        <f>IF(OR($I1489="Čaká na biznis",$J1489="Biznis",$J1489="Švédsky biznis"),"ÁNO","")</f>
        <v/>
      </c>
      <c r="N1489" s="2"/>
      <c r="O1489" s="3"/>
      <c r="Q1489"/>
      <c r="R1489" s="3"/>
      <c r="S1489" s="3"/>
      <c r="T1489"/>
      <c r="U1489"/>
      <c r="V1489"/>
      <c r="W1489"/>
      <c r="Z1489"/>
      <c r="AA1489"/>
      <c r="AD1489"/>
    </row>
    <row r="1490" spans="11:30" ht="18" customHeight="1">
      <c r="K1490" t="str">
        <f>IF(OR($I1490="Čaká na integráciu",$J1490="Integrácia"),"ÁNO","")</f>
        <v/>
      </c>
      <c r="L1490" t="str">
        <f>IF(OR($I1490="Čaká na biznis",$J1490="Biznis",$J1490="Švédsky biznis"),"ÁNO","")</f>
        <v/>
      </c>
      <c r="N1490" s="2"/>
      <c r="O1490" s="3"/>
      <c r="Q1490"/>
      <c r="R1490" s="3"/>
      <c r="S1490" s="3"/>
      <c r="T1490"/>
      <c r="U1490"/>
      <c r="V1490"/>
      <c r="W1490"/>
      <c r="Z1490"/>
      <c r="AA1490"/>
      <c r="AD1490"/>
    </row>
    <row r="1491" spans="11:30" ht="18" customHeight="1">
      <c r="K1491" t="str">
        <f>IF(OR($I1491="Čaká na integráciu",$J1491="Integrácia"),"ÁNO","")</f>
        <v/>
      </c>
      <c r="L1491" t="str">
        <f>IF(OR($I1491="Čaká na biznis",$J1491="Biznis",$J1491="Švédsky biznis"),"ÁNO","")</f>
        <v/>
      </c>
      <c r="N1491" s="2"/>
      <c r="O1491" s="3"/>
      <c r="Q1491"/>
      <c r="R1491" s="3"/>
      <c r="S1491" s="3"/>
      <c r="T1491"/>
      <c r="U1491"/>
      <c r="V1491"/>
      <c r="W1491"/>
      <c r="Z1491"/>
      <c r="AA1491"/>
      <c r="AD1491"/>
    </row>
    <row r="1492" spans="11:30" ht="18" customHeight="1">
      <c r="K1492" t="str">
        <f>IF(OR($I1492="Čaká na integráciu",$J1492="Integrácia"),"ÁNO","")</f>
        <v/>
      </c>
      <c r="L1492" t="str">
        <f>IF(OR($I1492="Čaká na biznis",$J1492="Biznis",$J1492="Švédsky biznis"),"ÁNO","")</f>
        <v/>
      </c>
      <c r="N1492" s="2"/>
      <c r="O1492" s="3"/>
      <c r="Q1492"/>
      <c r="R1492" s="3"/>
      <c r="S1492" s="3"/>
      <c r="T1492"/>
      <c r="U1492"/>
      <c r="V1492"/>
      <c r="W1492"/>
      <c r="Z1492"/>
      <c r="AA1492"/>
      <c r="AD1492"/>
    </row>
    <row r="1493" spans="11:30" ht="18" customHeight="1">
      <c r="K1493" t="str">
        <f>IF(OR($I1493="Čaká na integráciu",$J1493="Integrácia"),"ÁNO","")</f>
        <v/>
      </c>
      <c r="L1493" t="str">
        <f>IF(OR($I1493="Čaká na biznis",$J1493="Biznis",$J1493="Švédsky biznis"),"ÁNO","")</f>
        <v/>
      </c>
      <c r="N1493" s="2"/>
      <c r="O1493" s="3"/>
      <c r="Q1493"/>
      <c r="R1493" s="3"/>
      <c r="S1493" s="3"/>
      <c r="T1493"/>
      <c r="U1493"/>
      <c r="V1493"/>
      <c r="W1493"/>
      <c r="Z1493"/>
      <c r="AA1493"/>
      <c r="AD1493"/>
    </row>
    <row r="1494" spans="11:30" ht="18" customHeight="1">
      <c r="K1494" t="str">
        <f>IF(OR($I1494="Čaká na integráciu",$J1494="Integrácia"),"ÁNO","")</f>
        <v/>
      </c>
      <c r="L1494" t="str">
        <f>IF(OR($I1494="Čaká na biznis",$J1494="Biznis",$J1494="Švédsky biznis"),"ÁNO","")</f>
        <v/>
      </c>
      <c r="N1494" s="2"/>
      <c r="O1494" s="3"/>
      <c r="Q1494"/>
      <c r="R1494" s="3"/>
      <c r="S1494" s="3"/>
      <c r="T1494"/>
      <c r="U1494"/>
      <c r="V1494"/>
      <c r="W1494"/>
      <c r="Z1494"/>
      <c r="AA1494"/>
      <c r="AD1494"/>
    </row>
    <row r="1495" spans="11:30" ht="18" customHeight="1">
      <c r="K1495" t="str">
        <f>IF(OR($I1495="Čaká na integráciu",$J1495="Integrácia"),"ÁNO","")</f>
        <v/>
      </c>
      <c r="L1495" t="str">
        <f>IF(OR($I1495="Čaká na biznis",$J1495="Biznis",$J1495="Švédsky biznis"),"ÁNO","")</f>
        <v/>
      </c>
      <c r="N1495" s="2"/>
      <c r="O1495" s="3"/>
      <c r="Q1495"/>
      <c r="R1495" s="3"/>
      <c r="S1495" s="3"/>
      <c r="T1495"/>
      <c r="U1495"/>
      <c r="V1495"/>
      <c r="W1495"/>
      <c r="Z1495"/>
      <c r="AA1495"/>
      <c r="AD1495"/>
    </row>
    <row r="1496" spans="11:30" ht="18" customHeight="1">
      <c r="K1496" t="str">
        <f>IF(OR($I1496="Čaká na integráciu",$J1496="Integrácia"),"ÁNO","")</f>
        <v/>
      </c>
      <c r="L1496" t="str">
        <f>IF(OR($I1496="Čaká na biznis",$J1496="Biznis",$J1496="Švédsky biznis"),"ÁNO","")</f>
        <v/>
      </c>
      <c r="N1496" s="2"/>
      <c r="O1496" s="3"/>
      <c r="Q1496"/>
      <c r="R1496" s="3"/>
      <c r="S1496" s="3"/>
      <c r="T1496"/>
      <c r="U1496"/>
      <c r="V1496"/>
      <c r="W1496"/>
      <c r="Z1496"/>
      <c r="AA1496"/>
      <c r="AD1496"/>
    </row>
    <row r="1497" spans="11:30" ht="18" customHeight="1">
      <c r="K1497" t="str">
        <f>IF(OR($I1497="Čaká na integráciu",$J1497="Integrácia"),"ÁNO","")</f>
        <v/>
      </c>
      <c r="L1497" t="str">
        <f>IF(OR($I1497="Čaká na biznis",$J1497="Biznis",$J1497="Švédsky biznis"),"ÁNO","")</f>
        <v/>
      </c>
      <c r="N1497" s="2"/>
      <c r="O1497" s="3"/>
      <c r="Q1497"/>
      <c r="R1497" s="3"/>
      <c r="S1497" s="3"/>
      <c r="T1497"/>
      <c r="U1497"/>
      <c r="V1497"/>
      <c r="W1497"/>
      <c r="Z1497"/>
      <c r="AA1497"/>
      <c r="AD1497"/>
    </row>
    <row r="1498" spans="11:30" ht="18" customHeight="1">
      <c r="K1498" t="str">
        <f>IF(OR($I1498="Čaká na integráciu",$J1498="Integrácia"),"ÁNO","")</f>
        <v/>
      </c>
      <c r="L1498" t="str">
        <f>IF(OR($I1498="Čaká na biznis",$J1498="Biznis",$J1498="Švédsky biznis"),"ÁNO","")</f>
        <v/>
      </c>
      <c r="N1498" s="2"/>
      <c r="O1498" s="3"/>
      <c r="Q1498"/>
      <c r="R1498" s="3"/>
      <c r="S1498" s="3"/>
      <c r="T1498"/>
      <c r="U1498"/>
      <c r="V1498"/>
      <c r="W1498"/>
      <c r="Z1498"/>
      <c r="AA1498"/>
      <c r="AD1498"/>
    </row>
    <row r="1499" spans="11:30" ht="18" customHeight="1">
      <c r="K1499" t="str">
        <f>IF(OR($I1499="Čaká na integráciu",$J1499="Integrácia"),"ÁNO","")</f>
        <v/>
      </c>
      <c r="L1499" t="str">
        <f>IF(OR($I1499="Čaká na biznis",$J1499="Biznis",$J1499="Švédsky biznis"),"ÁNO","")</f>
        <v/>
      </c>
      <c r="N1499" s="2"/>
      <c r="O1499" s="3"/>
      <c r="Q1499"/>
      <c r="R1499" s="3"/>
      <c r="S1499" s="3"/>
      <c r="T1499"/>
      <c r="U1499"/>
      <c r="V1499"/>
      <c r="W1499"/>
      <c r="Z1499"/>
      <c r="AA1499"/>
      <c r="AD1499"/>
    </row>
    <row r="1500" spans="11:30" ht="18" customHeight="1">
      <c r="K1500" t="str">
        <f>IF(OR($I1500="Čaká na integráciu",$J1500="Integrácia"),"ÁNO","")</f>
        <v/>
      </c>
      <c r="L1500" t="str">
        <f>IF(OR($I1500="Čaká na biznis",$J1500="Biznis",$J1500="Švédsky biznis"),"ÁNO","")</f>
        <v/>
      </c>
      <c r="N1500" s="2"/>
      <c r="O1500" s="3"/>
      <c r="Q1500"/>
      <c r="R1500" s="3"/>
      <c r="S1500" s="3"/>
      <c r="T1500"/>
      <c r="U1500"/>
      <c r="V1500"/>
      <c r="W1500"/>
      <c r="Z1500"/>
      <c r="AA1500"/>
      <c r="AD1500"/>
    </row>
    <row r="1501" spans="11:30" ht="18" customHeight="1">
      <c r="K1501" t="str">
        <f>IF(OR($I1501="Čaká na integráciu",$J1501="Integrácia"),"ÁNO","")</f>
        <v/>
      </c>
      <c r="L1501" t="str">
        <f>IF(OR($I1501="Čaká na biznis",$J1501="Biznis",$J1501="Švédsky biznis"),"ÁNO","")</f>
        <v/>
      </c>
      <c r="N1501" s="2"/>
      <c r="O1501" s="3"/>
      <c r="Q1501"/>
      <c r="R1501" s="3"/>
      <c r="S1501" s="3"/>
      <c r="T1501"/>
      <c r="U1501"/>
      <c r="V1501"/>
      <c r="W1501"/>
      <c r="Z1501"/>
      <c r="AA1501"/>
      <c r="AD1501"/>
    </row>
    <row r="1502" spans="11:30" ht="18" customHeight="1">
      <c r="K1502" t="str">
        <f>IF(OR($I1502="Čaká na integráciu",$J1502="Integrácia"),"ÁNO","")</f>
        <v/>
      </c>
      <c r="L1502" t="str">
        <f>IF(OR($I1502="Čaká na biznis",$J1502="Biznis",$J1502="Švédsky biznis"),"ÁNO","")</f>
        <v/>
      </c>
      <c r="N1502" s="2"/>
      <c r="O1502" s="3"/>
      <c r="Q1502"/>
      <c r="R1502" s="3"/>
      <c r="S1502" s="3"/>
      <c r="T1502"/>
      <c r="U1502"/>
      <c r="V1502"/>
      <c r="W1502"/>
      <c r="Z1502"/>
      <c r="AA1502"/>
      <c r="AD1502"/>
    </row>
    <row r="1503" spans="11:30" ht="18" customHeight="1">
      <c r="K1503" t="str">
        <f>IF(OR($I1503="Čaká na integráciu",$J1503="Integrácia"),"ÁNO","")</f>
        <v/>
      </c>
      <c r="L1503" t="str">
        <f>IF(OR($I1503="Čaká na biznis",$J1503="Biznis",$J1503="Švédsky biznis"),"ÁNO","")</f>
        <v/>
      </c>
      <c r="N1503" s="2"/>
      <c r="O1503" s="3"/>
      <c r="Q1503"/>
      <c r="R1503" s="3"/>
      <c r="S1503" s="3"/>
      <c r="T1503"/>
      <c r="U1503"/>
      <c r="V1503"/>
      <c r="W1503"/>
      <c r="Z1503"/>
      <c r="AA1503"/>
      <c r="AD1503"/>
    </row>
    <row r="1504" spans="11:30" ht="18" customHeight="1">
      <c r="K1504" t="str">
        <f>IF(OR($I1504="Čaká na integráciu",$J1504="Integrácia"),"ÁNO","")</f>
        <v/>
      </c>
      <c r="L1504" t="str">
        <f>IF(OR($I1504="Čaká na biznis",$J1504="Biznis",$J1504="Švédsky biznis"),"ÁNO","")</f>
        <v/>
      </c>
      <c r="N1504" s="2"/>
      <c r="O1504" s="3"/>
      <c r="Q1504"/>
      <c r="R1504" s="3"/>
      <c r="S1504" s="3"/>
      <c r="T1504"/>
      <c r="U1504"/>
      <c r="V1504"/>
      <c r="W1504"/>
      <c r="Z1504"/>
      <c r="AA1504"/>
      <c r="AD1504"/>
    </row>
    <row r="1505" spans="11:30" ht="18" customHeight="1">
      <c r="K1505" t="str">
        <f>IF(OR($I1505="Čaká na integráciu",$J1505="Integrácia"),"ÁNO","")</f>
        <v/>
      </c>
      <c r="L1505" t="str">
        <f>IF(OR($I1505="Čaká na biznis",$J1505="Biznis",$J1505="Švédsky biznis"),"ÁNO","")</f>
        <v/>
      </c>
      <c r="N1505" s="2"/>
      <c r="O1505" s="3"/>
      <c r="Q1505"/>
      <c r="R1505" s="3"/>
      <c r="S1505" s="3"/>
      <c r="T1505"/>
      <c r="U1505"/>
      <c r="V1505"/>
      <c r="W1505"/>
      <c r="Z1505"/>
      <c r="AA1505"/>
      <c r="AD1505"/>
    </row>
    <row r="1506" spans="11:30" ht="18" customHeight="1">
      <c r="K1506" t="str">
        <f>IF(OR($I1506="Čaká na integráciu",$J1506="Integrácia"),"ÁNO","")</f>
        <v/>
      </c>
      <c r="L1506" t="str">
        <f>IF(OR($I1506="Čaká na biznis",$J1506="Biznis",$J1506="Švédsky biznis"),"ÁNO","")</f>
        <v/>
      </c>
      <c r="N1506" s="2"/>
      <c r="O1506" s="3"/>
      <c r="Q1506"/>
      <c r="R1506" s="3"/>
      <c r="S1506" s="3"/>
      <c r="T1506"/>
      <c r="U1506"/>
      <c r="V1506"/>
      <c r="W1506"/>
      <c r="Z1506"/>
      <c r="AA1506"/>
      <c r="AD1506"/>
    </row>
    <row r="1507" spans="11:30" ht="18" customHeight="1">
      <c r="K1507" t="str">
        <f>IF(OR($I1507="Čaká na integráciu",$J1507="Integrácia"),"ÁNO","")</f>
        <v/>
      </c>
      <c r="L1507" t="str">
        <f>IF(OR($I1507="Čaká na biznis",$J1507="Biznis",$J1507="Švédsky biznis"),"ÁNO","")</f>
        <v/>
      </c>
      <c r="N1507" s="2"/>
      <c r="O1507" s="3"/>
      <c r="Q1507"/>
      <c r="R1507" s="3"/>
      <c r="S1507" s="3"/>
      <c r="T1507"/>
      <c r="U1507"/>
      <c r="V1507"/>
      <c r="W1507"/>
      <c r="Z1507"/>
      <c r="AA1507"/>
      <c r="AD1507"/>
    </row>
    <row r="1508" spans="11:30" ht="18" customHeight="1">
      <c r="K1508" t="str">
        <f>IF(OR($I1508="Čaká na integráciu",$J1508="Integrácia"),"ÁNO","")</f>
        <v/>
      </c>
      <c r="L1508" t="str">
        <f>IF(OR($I1508="Čaká na biznis",$J1508="Biznis",$J1508="Švédsky biznis"),"ÁNO","")</f>
        <v/>
      </c>
      <c r="N1508" s="2"/>
      <c r="O1508" s="3"/>
      <c r="Q1508"/>
      <c r="R1508" s="3"/>
      <c r="S1508" s="3"/>
      <c r="T1508"/>
      <c r="U1508"/>
      <c r="V1508"/>
      <c r="W1508"/>
      <c r="Z1508"/>
      <c r="AA1508"/>
      <c r="AD1508"/>
    </row>
    <row r="1509" spans="11:30" ht="18" customHeight="1">
      <c r="K1509" t="str">
        <f>IF(OR($I1509="Čaká na integráciu",$J1509="Integrácia"),"ÁNO","")</f>
        <v/>
      </c>
      <c r="L1509" t="str">
        <f>IF(OR($I1509="Čaká na biznis",$J1509="Biznis",$J1509="Švédsky biznis"),"ÁNO","")</f>
        <v/>
      </c>
      <c r="N1509" s="2"/>
      <c r="O1509" s="3"/>
      <c r="Q1509"/>
      <c r="R1509" s="3"/>
      <c r="S1509" s="3"/>
      <c r="T1509"/>
      <c r="U1509"/>
      <c r="V1509"/>
      <c r="W1509"/>
      <c r="Z1509"/>
      <c r="AA1509"/>
      <c r="AD1509"/>
    </row>
    <row r="1510" spans="11:30" ht="18" customHeight="1">
      <c r="K1510" t="str">
        <f>IF(OR($I1510="Čaká na integráciu",$J1510="Integrácia"),"ÁNO","")</f>
        <v/>
      </c>
      <c r="L1510" t="str">
        <f>IF(OR($I1510="Čaká na biznis",$J1510="Biznis",$J1510="Švédsky biznis"),"ÁNO","")</f>
        <v/>
      </c>
      <c r="N1510" s="2"/>
      <c r="O1510" s="3"/>
      <c r="Q1510"/>
      <c r="R1510" s="3"/>
      <c r="S1510" s="3"/>
      <c r="T1510"/>
      <c r="U1510"/>
      <c r="V1510"/>
      <c r="W1510"/>
      <c r="Z1510"/>
      <c r="AA1510"/>
      <c r="AD1510"/>
    </row>
    <row r="1511" spans="11:30" ht="18" customHeight="1">
      <c r="K1511" t="str">
        <f>IF(OR($I1511="Čaká na integráciu",$J1511="Integrácia"),"ÁNO","")</f>
        <v/>
      </c>
      <c r="L1511" t="str">
        <f>IF(OR($I1511="Čaká na biznis",$J1511="Biznis",$J1511="Švédsky biznis"),"ÁNO","")</f>
        <v/>
      </c>
      <c r="N1511" s="2"/>
      <c r="O1511" s="3"/>
      <c r="Q1511"/>
      <c r="R1511" s="3"/>
      <c r="S1511" s="3"/>
      <c r="T1511"/>
      <c r="U1511"/>
      <c r="V1511"/>
      <c r="W1511"/>
      <c r="Z1511"/>
      <c r="AA1511"/>
      <c r="AD1511"/>
    </row>
    <row r="1512" spans="11:30" ht="18" customHeight="1">
      <c r="K1512" t="str">
        <f>IF(OR($I1512="Čaká na integráciu",$J1512="Integrácia"),"ÁNO","")</f>
        <v/>
      </c>
      <c r="L1512" t="str">
        <f>IF(OR($I1512="Čaká na biznis",$J1512="Biznis",$J1512="Švédsky biznis"),"ÁNO","")</f>
        <v/>
      </c>
      <c r="N1512" s="2"/>
      <c r="O1512" s="3"/>
      <c r="Q1512"/>
      <c r="R1512" s="3"/>
      <c r="S1512" s="3"/>
      <c r="T1512"/>
      <c r="U1512"/>
      <c r="V1512"/>
      <c r="W1512"/>
      <c r="Z1512"/>
      <c r="AA1512"/>
      <c r="AD1512"/>
    </row>
    <row r="1513" spans="11:30" ht="18" customHeight="1">
      <c r="K1513" t="str">
        <f>IF(OR($I1513="Čaká na integráciu",$J1513="Integrácia"),"ÁNO","")</f>
        <v/>
      </c>
      <c r="L1513" t="str">
        <f>IF(OR($I1513="Čaká na biznis",$J1513="Biznis",$J1513="Švédsky biznis"),"ÁNO","")</f>
        <v/>
      </c>
      <c r="N1513" s="2"/>
      <c r="O1513" s="3"/>
      <c r="Q1513"/>
      <c r="R1513" s="3"/>
      <c r="S1513" s="3"/>
      <c r="T1513"/>
      <c r="U1513"/>
      <c r="V1513"/>
      <c r="W1513"/>
      <c r="Z1513"/>
      <c r="AA1513"/>
      <c r="AD1513"/>
    </row>
    <row r="1514" spans="11:30" ht="18" customHeight="1">
      <c r="K1514" t="str">
        <f>IF(OR($I1514="Čaká na integráciu",$J1514="Integrácia"),"ÁNO","")</f>
        <v/>
      </c>
      <c r="L1514" t="str">
        <f>IF(OR($I1514="Čaká na biznis",$J1514="Biznis",$J1514="Švédsky biznis"),"ÁNO","")</f>
        <v/>
      </c>
      <c r="N1514" s="2"/>
      <c r="O1514" s="3"/>
      <c r="Q1514"/>
      <c r="R1514" s="3"/>
      <c r="S1514" s="3"/>
      <c r="T1514"/>
      <c r="U1514"/>
      <c r="V1514"/>
      <c r="W1514"/>
      <c r="Z1514"/>
      <c r="AA1514"/>
      <c r="AD1514"/>
    </row>
    <row r="1515" spans="11:30" ht="18" customHeight="1">
      <c r="K1515" t="str">
        <f>IF(OR($I1515="Čaká na integráciu",$J1515="Integrácia"),"ÁNO","")</f>
        <v/>
      </c>
      <c r="L1515" t="str">
        <f>IF(OR($I1515="Čaká na biznis",$J1515="Biznis",$J1515="Švédsky biznis"),"ÁNO","")</f>
        <v/>
      </c>
      <c r="N1515" s="2"/>
      <c r="O1515" s="3"/>
      <c r="Q1515"/>
      <c r="R1515" s="3"/>
      <c r="S1515" s="3"/>
      <c r="T1515"/>
      <c r="U1515"/>
      <c r="V1515"/>
      <c r="W1515"/>
      <c r="Z1515"/>
      <c r="AA1515"/>
      <c r="AD1515"/>
    </row>
    <row r="1516" spans="11:30" ht="18" customHeight="1">
      <c r="K1516" t="str">
        <f>IF(OR($I1516="Čaká na integráciu",$J1516="Integrácia"),"ÁNO","")</f>
        <v/>
      </c>
      <c r="L1516" t="str">
        <f>IF(OR($I1516="Čaká na biznis",$J1516="Biznis",$J1516="Švédsky biznis"),"ÁNO","")</f>
        <v/>
      </c>
      <c r="N1516" s="2"/>
      <c r="O1516" s="3"/>
      <c r="Q1516"/>
      <c r="R1516" s="3"/>
      <c r="S1516" s="3"/>
      <c r="T1516"/>
      <c r="U1516"/>
      <c r="V1516"/>
      <c r="W1516"/>
      <c r="Z1516"/>
      <c r="AA1516"/>
      <c r="AD1516"/>
    </row>
    <row r="1517" spans="11:30" ht="18" customHeight="1">
      <c r="K1517" t="str">
        <f>IF(OR($I1517="Čaká na integráciu",$J1517="Integrácia"),"ÁNO","")</f>
        <v/>
      </c>
      <c r="L1517" t="str">
        <f>IF(OR($I1517="Čaká na biznis",$J1517="Biznis",$J1517="Švédsky biznis"),"ÁNO","")</f>
        <v/>
      </c>
      <c r="N1517" s="2"/>
      <c r="O1517" s="3"/>
      <c r="Q1517"/>
      <c r="R1517" s="3"/>
      <c r="S1517" s="3"/>
      <c r="T1517"/>
      <c r="U1517"/>
      <c r="V1517"/>
      <c r="W1517"/>
      <c r="Z1517"/>
      <c r="AA1517"/>
      <c r="AD1517"/>
    </row>
    <row r="1518" spans="11:30" ht="18" customHeight="1">
      <c r="K1518" t="str">
        <f>IF(OR($I1518="Čaká na integráciu",$J1518="Integrácia"),"ÁNO","")</f>
        <v/>
      </c>
      <c r="L1518" t="str">
        <f>IF(OR($I1518="Čaká na biznis",$J1518="Biznis",$J1518="Švédsky biznis"),"ÁNO","")</f>
        <v/>
      </c>
      <c r="N1518" s="2"/>
      <c r="O1518" s="3"/>
      <c r="Q1518"/>
      <c r="R1518" s="3"/>
      <c r="S1518" s="3"/>
      <c r="T1518"/>
      <c r="U1518"/>
      <c r="V1518"/>
      <c r="W1518"/>
      <c r="Z1518"/>
      <c r="AA1518"/>
      <c r="AD1518"/>
    </row>
    <row r="1519" spans="11:30" ht="18" customHeight="1">
      <c r="K1519" t="str">
        <f>IF(OR($I1519="Čaká na integráciu",$J1519="Integrácia"),"ÁNO","")</f>
        <v/>
      </c>
      <c r="L1519" t="str">
        <f>IF(OR($I1519="Čaká na biznis",$J1519="Biznis",$J1519="Švédsky biznis"),"ÁNO","")</f>
        <v/>
      </c>
      <c r="N1519" s="2"/>
      <c r="O1519" s="3"/>
      <c r="Q1519"/>
      <c r="R1519" s="3"/>
      <c r="S1519" s="3"/>
      <c r="T1519"/>
      <c r="U1519"/>
      <c r="V1519"/>
      <c r="W1519"/>
      <c r="Z1519"/>
      <c r="AA1519"/>
      <c r="AD1519"/>
    </row>
    <row r="1520" spans="11:30" ht="18" customHeight="1">
      <c r="K1520" t="str">
        <f>IF(OR($I1520="Čaká na integráciu",$J1520="Integrácia"),"ÁNO","")</f>
        <v/>
      </c>
      <c r="L1520" t="str">
        <f>IF(OR($I1520="Čaká na biznis",$J1520="Biznis",$J1520="Švédsky biznis"),"ÁNO","")</f>
        <v/>
      </c>
      <c r="N1520" s="2"/>
      <c r="O1520" s="3"/>
      <c r="Q1520"/>
      <c r="R1520" s="3"/>
      <c r="S1520" s="3"/>
      <c r="T1520"/>
      <c r="U1520"/>
      <c r="V1520"/>
      <c r="W1520"/>
      <c r="Z1520"/>
      <c r="AA1520"/>
      <c r="AD1520"/>
    </row>
    <row r="1521" spans="11:30" ht="18" customHeight="1">
      <c r="K1521" t="str">
        <f>IF(OR($I1521="Čaká na integráciu",$J1521="Integrácia"),"ÁNO","")</f>
        <v/>
      </c>
      <c r="L1521" t="str">
        <f>IF(OR($I1521="Čaká na biznis",$J1521="Biznis",$J1521="Švédsky biznis"),"ÁNO","")</f>
        <v/>
      </c>
      <c r="N1521" s="2"/>
      <c r="O1521" s="3"/>
      <c r="Q1521"/>
      <c r="R1521" s="3"/>
      <c r="S1521" s="3"/>
      <c r="T1521"/>
      <c r="U1521"/>
      <c r="V1521"/>
      <c r="W1521"/>
      <c r="Z1521"/>
      <c r="AA1521"/>
      <c r="AD1521"/>
    </row>
    <row r="1522" spans="11:30" ht="18" customHeight="1">
      <c r="K1522" t="str">
        <f>IF(OR($I1522="Čaká na integráciu",$J1522="Integrácia"),"ÁNO","")</f>
        <v/>
      </c>
      <c r="L1522" t="str">
        <f>IF(OR($I1522="Čaká na biznis",$J1522="Biznis",$J1522="Švédsky biznis"),"ÁNO","")</f>
        <v/>
      </c>
      <c r="N1522" s="2"/>
      <c r="O1522" s="3"/>
      <c r="Q1522"/>
      <c r="R1522" s="3"/>
      <c r="S1522" s="3"/>
      <c r="T1522"/>
      <c r="U1522"/>
      <c r="V1522"/>
      <c r="W1522"/>
      <c r="Z1522"/>
      <c r="AA1522"/>
      <c r="AD1522"/>
    </row>
    <row r="1523" spans="11:30" ht="18" customHeight="1">
      <c r="K1523" t="str">
        <f>IF(OR($I1523="Čaká na integráciu",$J1523="Integrácia"),"ÁNO","")</f>
        <v/>
      </c>
      <c r="L1523" t="str">
        <f>IF(OR($I1523="Čaká na biznis",$J1523="Biznis",$J1523="Švédsky biznis"),"ÁNO","")</f>
        <v/>
      </c>
      <c r="N1523" s="2"/>
      <c r="O1523" s="3"/>
      <c r="Q1523"/>
      <c r="R1523" s="3"/>
      <c r="S1523" s="3"/>
      <c r="T1523"/>
      <c r="U1523"/>
      <c r="V1523"/>
      <c r="W1523"/>
      <c r="Z1523"/>
      <c r="AA1523"/>
      <c r="AD1523"/>
    </row>
    <row r="1524" spans="11:30" ht="18" customHeight="1">
      <c r="K1524" t="str">
        <f>IF(OR($I1524="Čaká na integráciu",$J1524="Integrácia"),"ÁNO","")</f>
        <v/>
      </c>
      <c r="L1524" t="str">
        <f>IF(OR($I1524="Čaká na biznis",$J1524="Biznis",$J1524="Švédsky biznis"),"ÁNO","")</f>
        <v/>
      </c>
      <c r="N1524" s="2"/>
      <c r="O1524" s="3"/>
      <c r="Q1524"/>
      <c r="R1524" s="3"/>
      <c r="S1524" s="3"/>
      <c r="T1524"/>
      <c r="U1524"/>
      <c r="V1524"/>
      <c r="W1524"/>
      <c r="Z1524"/>
      <c r="AA1524"/>
      <c r="AD1524"/>
    </row>
    <row r="1525" spans="11:30" ht="18" customHeight="1">
      <c r="K1525" t="str">
        <f>IF(OR($I1525="Čaká na integráciu",$J1525="Integrácia"),"ÁNO","")</f>
        <v/>
      </c>
      <c r="L1525" t="str">
        <f>IF(OR($I1525="Čaká na biznis",$J1525="Biznis",$J1525="Švédsky biznis"),"ÁNO","")</f>
        <v/>
      </c>
      <c r="N1525" s="2"/>
      <c r="O1525" s="3"/>
      <c r="Q1525"/>
      <c r="R1525" s="3"/>
      <c r="S1525" s="3"/>
      <c r="T1525"/>
      <c r="U1525"/>
      <c r="V1525"/>
      <c r="W1525"/>
      <c r="Z1525"/>
      <c r="AA1525"/>
      <c r="AD1525"/>
    </row>
    <row r="1526" spans="11:30" ht="18" customHeight="1">
      <c r="K1526" t="str">
        <f>IF(OR($I1526="Čaká na integráciu",$J1526="Integrácia"),"ÁNO","")</f>
        <v/>
      </c>
      <c r="L1526" t="str">
        <f>IF(OR($I1526="Čaká na biznis",$J1526="Biznis",$J1526="Švédsky biznis"),"ÁNO","")</f>
        <v/>
      </c>
      <c r="N1526" s="2"/>
      <c r="O1526" s="3"/>
      <c r="Q1526"/>
      <c r="R1526" s="3"/>
      <c r="S1526" s="3"/>
      <c r="T1526"/>
      <c r="U1526"/>
      <c r="V1526"/>
      <c r="W1526"/>
      <c r="Z1526"/>
      <c r="AA1526"/>
      <c r="AD1526"/>
    </row>
    <row r="1527" spans="11:30" ht="18" customHeight="1">
      <c r="K1527" t="str">
        <f>IF(OR($I1527="Čaká na integráciu",$J1527="Integrácia"),"ÁNO","")</f>
        <v/>
      </c>
      <c r="L1527" t="str">
        <f>IF(OR($I1527="Čaká na biznis",$J1527="Biznis",$J1527="Švédsky biznis"),"ÁNO","")</f>
        <v/>
      </c>
      <c r="N1527" s="2"/>
      <c r="O1527" s="3"/>
      <c r="Q1527"/>
      <c r="R1527" s="3"/>
      <c r="S1527" s="3"/>
      <c r="T1527"/>
      <c r="U1527"/>
      <c r="V1527"/>
      <c r="W1527"/>
      <c r="Z1527"/>
      <c r="AA1527"/>
      <c r="AD1527"/>
    </row>
    <row r="1528" spans="11:30" ht="18" customHeight="1">
      <c r="K1528" t="str">
        <f>IF(OR($I1528="Čaká na integráciu",$J1528="Integrácia"),"ÁNO","")</f>
        <v/>
      </c>
      <c r="L1528" t="str">
        <f>IF(OR($I1528="Čaká na biznis",$J1528="Biznis",$J1528="Švédsky biznis"),"ÁNO","")</f>
        <v/>
      </c>
      <c r="N1528" s="2"/>
      <c r="O1528" s="3"/>
      <c r="Q1528"/>
      <c r="R1528" s="3"/>
      <c r="S1528" s="3"/>
      <c r="T1528"/>
      <c r="U1528"/>
      <c r="V1528"/>
      <c r="W1528"/>
      <c r="Z1528"/>
      <c r="AA1528"/>
      <c r="AD1528"/>
    </row>
    <row r="1529" spans="11:30" ht="18" customHeight="1">
      <c r="K1529" t="str">
        <f>IF(OR($I1529="Čaká na integráciu",$J1529="Integrácia"),"ÁNO","")</f>
        <v/>
      </c>
      <c r="L1529" t="str">
        <f>IF(OR($I1529="Čaká na biznis",$J1529="Biznis",$J1529="Švédsky biznis"),"ÁNO","")</f>
        <v/>
      </c>
      <c r="N1529" s="2"/>
      <c r="O1529" s="3"/>
      <c r="Q1529"/>
      <c r="R1529" s="3"/>
      <c r="S1529" s="3"/>
      <c r="T1529"/>
      <c r="U1529"/>
      <c r="V1529"/>
      <c r="W1529"/>
      <c r="Z1529"/>
      <c r="AA1529"/>
      <c r="AD1529"/>
    </row>
    <row r="1530" spans="11:30" ht="18" customHeight="1">
      <c r="K1530" t="str">
        <f>IF(OR($I1530="Čaká na integráciu",$J1530="Integrácia"),"ÁNO","")</f>
        <v/>
      </c>
      <c r="L1530" t="str">
        <f>IF(OR($I1530="Čaká na biznis",$J1530="Biznis",$J1530="Švédsky biznis"),"ÁNO","")</f>
        <v/>
      </c>
      <c r="N1530" s="2"/>
      <c r="O1530" s="3"/>
      <c r="Q1530"/>
      <c r="R1530" s="3"/>
      <c r="S1530" s="3"/>
      <c r="T1530"/>
      <c r="U1530"/>
      <c r="V1530"/>
      <c r="W1530"/>
      <c r="Z1530"/>
      <c r="AA1530"/>
      <c r="AD1530"/>
    </row>
    <row r="1531" spans="11:30" ht="18" customHeight="1">
      <c r="K1531" t="str">
        <f>IF(OR($I1531="Čaká na integráciu",$J1531="Integrácia"),"ÁNO","")</f>
        <v/>
      </c>
      <c r="L1531" t="str">
        <f>IF(OR($I1531="Čaká na biznis",$J1531="Biznis",$J1531="Švédsky biznis"),"ÁNO","")</f>
        <v/>
      </c>
      <c r="N1531" s="2"/>
      <c r="O1531" s="3"/>
      <c r="Q1531"/>
      <c r="R1531" s="3"/>
      <c r="S1531" s="3"/>
      <c r="T1531"/>
      <c r="U1531"/>
      <c r="V1531"/>
      <c r="W1531"/>
      <c r="Z1531"/>
      <c r="AA1531"/>
      <c r="AD1531"/>
    </row>
    <row r="1532" spans="11:30" ht="18" customHeight="1">
      <c r="K1532" t="str">
        <f>IF(OR($I1532="Čaká na integráciu",$J1532="Integrácia"),"ÁNO","")</f>
        <v/>
      </c>
      <c r="L1532" t="str">
        <f>IF(OR($I1532="Čaká na biznis",$J1532="Biznis",$J1532="Švédsky biznis"),"ÁNO","")</f>
        <v/>
      </c>
      <c r="N1532" s="2"/>
      <c r="O1532" s="3"/>
      <c r="Q1532"/>
      <c r="R1532" s="3"/>
      <c r="S1532" s="3"/>
      <c r="T1532"/>
      <c r="U1532"/>
      <c r="V1532"/>
      <c r="W1532"/>
      <c r="Z1532"/>
      <c r="AA1532"/>
      <c r="AD1532"/>
    </row>
    <row r="1533" spans="11:30" ht="18" customHeight="1">
      <c r="K1533" t="str">
        <f>IF(OR($I1533="Čaká na integráciu",$J1533="Integrácia"),"ÁNO","")</f>
        <v/>
      </c>
      <c r="L1533" t="str">
        <f>IF(OR($I1533="Čaká na biznis",$J1533="Biznis",$J1533="Švédsky biznis"),"ÁNO","")</f>
        <v/>
      </c>
      <c r="N1533" s="2"/>
      <c r="O1533" s="3"/>
      <c r="Q1533"/>
      <c r="R1533" s="3"/>
      <c r="S1533" s="3"/>
      <c r="T1533"/>
      <c r="U1533"/>
      <c r="V1533"/>
      <c r="W1533"/>
      <c r="Z1533"/>
      <c r="AA1533"/>
      <c r="AD1533"/>
    </row>
    <row r="1534" spans="11:30" ht="18" customHeight="1">
      <c r="K1534" t="str">
        <f>IF(OR($I1534="Čaká na integráciu",$J1534="Integrácia"),"ÁNO","")</f>
        <v/>
      </c>
      <c r="L1534" t="str">
        <f>IF(OR($I1534="Čaká na biznis",$J1534="Biznis",$J1534="Švédsky biznis"),"ÁNO","")</f>
        <v/>
      </c>
      <c r="N1534" s="2"/>
      <c r="O1534" s="3"/>
      <c r="Q1534"/>
      <c r="R1534" s="3"/>
      <c r="S1534" s="3"/>
      <c r="T1534"/>
      <c r="U1534"/>
      <c r="V1534"/>
      <c r="W1534"/>
      <c r="Z1534"/>
      <c r="AA1534"/>
      <c r="AD1534"/>
    </row>
    <row r="1535" spans="11:30" ht="18" customHeight="1">
      <c r="K1535" t="str">
        <f>IF(OR($I1535="Čaká na integráciu",$J1535="Integrácia"),"ÁNO","")</f>
        <v/>
      </c>
      <c r="L1535" t="str">
        <f>IF(OR($I1535="Čaká na biznis",$J1535="Biznis",$J1535="Švédsky biznis"),"ÁNO","")</f>
        <v/>
      </c>
      <c r="N1535" s="2"/>
      <c r="O1535" s="3"/>
      <c r="Q1535"/>
      <c r="R1535" s="3"/>
      <c r="S1535" s="3"/>
      <c r="T1535"/>
      <c r="U1535"/>
      <c r="V1535"/>
      <c r="W1535"/>
      <c r="Z1535"/>
      <c r="AA1535"/>
      <c r="AD1535"/>
    </row>
    <row r="1536" spans="11:30" ht="18" customHeight="1">
      <c r="K1536" t="str">
        <f>IF(OR($I1536="Čaká na integráciu",$J1536="Integrácia"),"ÁNO","")</f>
        <v/>
      </c>
      <c r="L1536" t="str">
        <f>IF(OR($I1536="Čaká na biznis",$J1536="Biznis",$J1536="Švédsky biznis"),"ÁNO","")</f>
        <v/>
      </c>
      <c r="N1536" s="2"/>
      <c r="O1536" s="3"/>
      <c r="Q1536"/>
      <c r="R1536" s="3"/>
      <c r="S1536" s="3"/>
      <c r="T1536"/>
      <c r="U1536"/>
      <c r="V1536"/>
      <c r="W1536"/>
      <c r="Z1536"/>
      <c r="AA1536"/>
      <c r="AD1536"/>
    </row>
    <row r="1537" spans="11:30" ht="18" customHeight="1">
      <c r="K1537" t="str">
        <f>IF(OR($I1537="Čaká na integráciu",$J1537="Integrácia"),"ÁNO","")</f>
        <v/>
      </c>
      <c r="L1537" t="str">
        <f>IF(OR($I1537="Čaká na biznis",$J1537="Biznis",$J1537="Švédsky biznis"),"ÁNO","")</f>
        <v/>
      </c>
      <c r="N1537" s="2"/>
      <c r="O1537" s="3"/>
      <c r="Q1537"/>
      <c r="R1537" s="3"/>
      <c r="S1537" s="3"/>
      <c r="T1537"/>
      <c r="U1537"/>
      <c r="V1537"/>
      <c r="W1537"/>
      <c r="Z1537"/>
      <c r="AA1537"/>
      <c r="AD1537"/>
    </row>
    <row r="1538" spans="11:30" ht="18" customHeight="1">
      <c r="K1538" t="str">
        <f>IF(OR($I1538="Čaká na integráciu",$J1538="Integrácia"),"ÁNO","")</f>
        <v/>
      </c>
      <c r="L1538" t="str">
        <f>IF(OR($I1538="Čaká na biznis",$J1538="Biznis",$J1538="Švédsky biznis"),"ÁNO","")</f>
        <v/>
      </c>
      <c r="N1538" s="2"/>
      <c r="O1538" s="3"/>
      <c r="Q1538"/>
      <c r="R1538" s="3"/>
      <c r="S1538" s="3"/>
      <c r="T1538"/>
      <c r="U1538"/>
      <c r="V1538"/>
      <c r="W1538"/>
      <c r="Z1538"/>
      <c r="AA1538"/>
      <c r="AD1538"/>
    </row>
    <row r="1539" spans="11:30" ht="18" customHeight="1">
      <c r="K1539" t="str">
        <f>IF(OR($I1539="Čaká na integráciu",$J1539="Integrácia"),"ÁNO","")</f>
        <v/>
      </c>
      <c r="L1539" t="str">
        <f>IF(OR($I1539="Čaká na biznis",$J1539="Biznis",$J1539="Švédsky biznis"),"ÁNO","")</f>
        <v/>
      </c>
      <c r="N1539" s="2"/>
      <c r="O1539" s="3"/>
      <c r="Q1539"/>
      <c r="R1539" s="3"/>
      <c r="S1539" s="3"/>
      <c r="T1539"/>
      <c r="U1539"/>
      <c r="V1539"/>
      <c r="W1539"/>
      <c r="Z1539"/>
      <c r="AA1539"/>
      <c r="AD1539"/>
    </row>
    <row r="1540" spans="11:30" ht="18" customHeight="1">
      <c r="K1540" t="str">
        <f>IF(OR($I1540="Čaká na integráciu",$J1540="Integrácia"),"ÁNO","")</f>
        <v/>
      </c>
      <c r="L1540" t="str">
        <f>IF(OR($I1540="Čaká na biznis",$J1540="Biznis",$J1540="Švédsky biznis"),"ÁNO","")</f>
        <v/>
      </c>
      <c r="N1540" s="2"/>
      <c r="O1540" s="3"/>
      <c r="Q1540"/>
      <c r="R1540" s="3"/>
      <c r="S1540" s="3"/>
      <c r="T1540"/>
      <c r="U1540"/>
      <c r="V1540"/>
      <c r="W1540"/>
      <c r="Z1540"/>
      <c r="AA1540"/>
      <c r="AD1540"/>
    </row>
    <row r="1541" spans="11:30" ht="18" customHeight="1">
      <c r="K1541" t="str">
        <f>IF(OR($I1541="Čaká na integráciu",$J1541="Integrácia"),"ÁNO","")</f>
        <v/>
      </c>
      <c r="L1541" t="str">
        <f>IF(OR($I1541="Čaká na biznis",$J1541="Biznis",$J1541="Švédsky biznis"),"ÁNO","")</f>
        <v/>
      </c>
      <c r="N1541" s="2"/>
      <c r="O1541" s="3"/>
      <c r="Q1541"/>
      <c r="R1541" s="3"/>
      <c r="S1541" s="3"/>
      <c r="T1541"/>
      <c r="U1541"/>
      <c r="V1541"/>
      <c r="W1541"/>
      <c r="Z1541"/>
      <c r="AA1541"/>
      <c r="AD1541"/>
    </row>
    <row r="1542" spans="11:30" ht="18" customHeight="1">
      <c r="K1542" t="str">
        <f>IF(OR($I1542="Čaká na integráciu",$J1542="Integrácia"),"ÁNO","")</f>
        <v/>
      </c>
      <c r="L1542" t="str">
        <f>IF(OR($I1542="Čaká na biznis",$J1542="Biznis",$J1542="Švédsky biznis"),"ÁNO","")</f>
        <v/>
      </c>
      <c r="N1542" s="2"/>
      <c r="O1542" s="3"/>
      <c r="Q1542"/>
      <c r="R1542" s="3"/>
      <c r="S1542" s="3"/>
      <c r="T1542"/>
      <c r="U1542"/>
      <c r="V1542"/>
      <c r="W1542"/>
      <c r="Z1542"/>
      <c r="AA1542"/>
      <c r="AD1542"/>
    </row>
    <row r="1543" spans="11:30" ht="18" customHeight="1">
      <c r="K1543" t="str">
        <f>IF(OR($I1543="Čaká na integráciu",$J1543="Integrácia"),"ÁNO","")</f>
        <v/>
      </c>
      <c r="L1543" t="str">
        <f>IF(OR($I1543="Čaká na biznis",$J1543="Biznis",$J1543="Švédsky biznis"),"ÁNO","")</f>
        <v/>
      </c>
      <c r="N1543" s="2"/>
      <c r="O1543" s="3"/>
      <c r="Q1543"/>
      <c r="R1543" s="3"/>
      <c r="S1543" s="3"/>
      <c r="T1543"/>
      <c r="U1543"/>
      <c r="V1543"/>
      <c r="W1543"/>
      <c r="Z1543"/>
      <c r="AA1543"/>
      <c r="AD1543"/>
    </row>
    <row r="1544" spans="11:30" ht="18" customHeight="1">
      <c r="K1544" t="str">
        <f>IF(OR($I1544="Čaká na integráciu",$J1544="Integrácia"),"ÁNO","")</f>
        <v/>
      </c>
      <c r="L1544" t="str">
        <f>IF(OR($I1544="Čaká na biznis",$J1544="Biznis",$J1544="Švédsky biznis"),"ÁNO","")</f>
        <v/>
      </c>
      <c r="N1544" s="2"/>
      <c r="O1544" s="3"/>
      <c r="Q1544"/>
      <c r="R1544" s="3"/>
      <c r="S1544" s="3"/>
      <c r="T1544"/>
      <c r="U1544"/>
      <c r="V1544"/>
      <c r="W1544"/>
      <c r="Z1544"/>
      <c r="AA1544"/>
      <c r="AD1544"/>
    </row>
    <row r="1545" spans="11:30" ht="18" customHeight="1">
      <c r="K1545" t="str">
        <f>IF(OR($I1545="Čaká na integráciu",$J1545="Integrácia"),"ÁNO","")</f>
        <v/>
      </c>
      <c r="L1545" t="str">
        <f>IF(OR($I1545="Čaká na biznis",$J1545="Biznis",$J1545="Švédsky biznis"),"ÁNO","")</f>
        <v/>
      </c>
      <c r="N1545" s="2"/>
      <c r="O1545" s="3"/>
      <c r="Q1545"/>
      <c r="R1545" s="3"/>
      <c r="S1545" s="3"/>
      <c r="T1545"/>
      <c r="U1545"/>
      <c r="V1545"/>
      <c r="W1545"/>
      <c r="Z1545"/>
      <c r="AA1545"/>
      <c r="AD1545"/>
    </row>
    <row r="1546" spans="11:30" ht="18" customHeight="1">
      <c r="K1546" t="str">
        <f>IF(OR($I1546="Čaká na integráciu",$J1546="Integrácia"),"ÁNO","")</f>
        <v/>
      </c>
      <c r="L1546" t="str">
        <f>IF(OR($I1546="Čaká na biznis",$J1546="Biznis",$J1546="Švédsky biznis"),"ÁNO","")</f>
        <v/>
      </c>
      <c r="N1546" s="2"/>
      <c r="O1546" s="3"/>
      <c r="Q1546"/>
      <c r="R1546" s="3"/>
      <c r="S1546" s="3"/>
      <c r="T1546"/>
      <c r="U1546"/>
      <c r="V1546"/>
      <c r="W1546"/>
      <c r="Z1546"/>
      <c r="AA1546"/>
      <c r="AD1546"/>
    </row>
    <row r="1547" spans="11:30" ht="18" customHeight="1">
      <c r="K1547" t="str">
        <f>IF(OR($I1547="Čaká na integráciu",$J1547="Integrácia"),"ÁNO","")</f>
        <v/>
      </c>
      <c r="L1547" t="str">
        <f>IF(OR($I1547="Čaká na biznis",$J1547="Biznis",$J1547="Švédsky biznis"),"ÁNO","")</f>
        <v/>
      </c>
      <c r="N1547" s="2"/>
      <c r="O1547" s="3"/>
      <c r="Q1547"/>
      <c r="R1547" s="3"/>
      <c r="S1547" s="3"/>
      <c r="T1547"/>
      <c r="U1547"/>
      <c r="V1547"/>
      <c r="W1547"/>
      <c r="Z1547"/>
      <c r="AA1547"/>
      <c r="AD1547"/>
    </row>
    <row r="1548" spans="11:30" ht="18" customHeight="1">
      <c r="K1548" t="str">
        <f>IF(OR($I1548="Čaká na integráciu",$J1548="Integrácia"),"ÁNO","")</f>
        <v/>
      </c>
      <c r="L1548" t="str">
        <f>IF(OR($I1548="Čaká na biznis",$J1548="Biznis",$J1548="Švédsky biznis"),"ÁNO","")</f>
        <v/>
      </c>
      <c r="N1548" s="2"/>
      <c r="O1548" s="3"/>
      <c r="Q1548"/>
      <c r="R1548" s="3"/>
      <c r="S1548" s="3"/>
      <c r="T1548"/>
      <c r="U1548"/>
      <c r="V1548"/>
      <c r="W1548"/>
      <c r="Z1548"/>
      <c r="AA1548"/>
      <c r="AD1548"/>
    </row>
    <row r="1549" spans="11:30" ht="18" customHeight="1">
      <c r="K1549" t="str">
        <f>IF(OR($I1549="Čaká na integráciu",$J1549="Integrácia"),"ÁNO","")</f>
        <v/>
      </c>
      <c r="L1549" t="str">
        <f>IF(OR($I1549="Čaká na biznis",$J1549="Biznis",$J1549="Švédsky biznis"),"ÁNO","")</f>
        <v/>
      </c>
      <c r="N1549" s="2"/>
      <c r="O1549" s="3"/>
      <c r="Q1549"/>
      <c r="R1549" s="3"/>
      <c r="S1549" s="3"/>
      <c r="T1549"/>
      <c r="U1549"/>
      <c r="V1549"/>
      <c r="W1549"/>
      <c r="Z1549"/>
      <c r="AA1549"/>
      <c r="AD1549"/>
    </row>
    <row r="1550" spans="11:30" ht="18" customHeight="1">
      <c r="K1550" t="str">
        <f>IF(OR($I1550="Čaká na integráciu",$J1550="Integrácia"),"ÁNO","")</f>
        <v/>
      </c>
      <c r="L1550" t="str">
        <f>IF(OR($I1550="Čaká na biznis",$J1550="Biznis",$J1550="Švédsky biznis"),"ÁNO","")</f>
        <v/>
      </c>
      <c r="N1550" s="2"/>
      <c r="O1550" s="3"/>
      <c r="Q1550"/>
      <c r="R1550" s="3"/>
      <c r="S1550" s="3"/>
      <c r="T1550"/>
      <c r="U1550"/>
      <c r="V1550"/>
      <c r="W1550"/>
      <c r="Z1550"/>
      <c r="AA1550"/>
      <c r="AD1550"/>
    </row>
    <row r="1551" spans="11:30" ht="18" customHeight="1">
      <c r="K1551" t="str">
        <f>IF(OR($I1551="Čaká na integráciu",$J1551="Integrácia"),"ÁNO","")</f>
        <v/>
      </c>
      <c r="L1551" t="str">
        <f>IF(OR($I1551="Čaká na biznis",$J1551="Biznis",$J1551="Švédsky biznis"),"ÁNO","")</f>
        <v/>
      </c>
      <c r="N1551" s="2"/>
      <c r="O1551" s="3"/>
      <c r="Q1551"/>
      <c r="R1551" s="3"/>
      <c r="S1551" s="3"/>
      <c r="T1551"/>
      <c r="U1551"/>
      <c r="V1551"/>
      <c r="W1551"/>
      <c r="Z1551"/>
      <c r="AA1551"/>
      <c r="AD1551"/>
    </row>
    <row r="1552" spans="11:30" ht="18" customHeight="1">
      <c r="K1552" t="str">
        <f>IF(OR($I1552="Čaká na integráciu",$J1552="Integrácia"),"ÁNO","")</f>
        <v/>
      </c>
      <c r="L1552" t="str">
        <f>IF(OR($I1552="Čaká na biznis",$J1552="Biznis",$J1552="Švédsky biznis"),"ÁNO","")</f>
        <v/>
      </c>
      <c r="N1552" s="2"/>
      <c r="O1552" s="3"/>
      <c r="Q1552"/>
      <c r="R1552" s="3"/>
      <c r="S1552" s="3"/>
      <c r="T1552"/>
      <c r="U1552"/>
      <c r="V1552"/>
      <c r="W1552"/>
      <c r="Z1552"/>
      <c r="AA1552"/>
      <c r="AD1552"/>
    </row>
    <row r="1553" spans="11:30" ht="18" customHeight="1">
      <c r="K1553" t="str">
        <f>IF(OR($I1553="Čaká na integráciu",$J1553="Integrácia"),"ÁNO","")</f>
        <v/>
      </c>
      <c r="L1553" t="str">
        <f>IF(OR($I1553="Čaká na biznis",$J1553="Biznis",$J1553="Švédsky biznis"),"ÁNO","")</f>
        <v/>
      </c>
      <c r="N1553" s="2"/>
      <c r="O1553" s="3"/>
      <c r="Q1553"/>
      <c r="R1553" s="3"/>
      <c r="S1553" s="3"/>
      <c r="T1553"/>
      <c r="U1553"/>
      <c r="V1553"/>
      <c r="W1553"/>
      <c r="Z1553"/>
      <c r="AA1553"/>
      <c r="AD1553"/>
    </row>
    <row r="1554" spans="11:30" ht="18" customHeight="1">
      <c r="K1554" t="str">
        <f>IF(OR($I1554="Čaká na integráciu",$J1554="Integrácia"),"ÁNO","")</f>
        <v/>
      </c>
      <c r="L1554" t="str">
        <f>IF(OR($I1554="Čaká na biznis",$J1554="Biznis",$J1554="Švédsky biznis"),"ÁNO","")</f>
        <v/>
      </c>
      <c r="N1554" s="2"/>
      <c r="O1554" s="3"/>
      <c r="Q1554"/>
      <c r="R1554" s="3"/>
      <c r="S1554" s="3"/>
      <c r="T1554"/>
      <c r="U1554"/>
      <c r="V1554"/>
      <c r="W1554"/>
      <c r="Z1554"/>
      <c r="AA1554"/>
      <c r="AD1554"/>
    </row>
    <row r="1555" spans="11:30" ht="18" customHeight="1">
      <c r="K1555" t="str">
        <f>IF(OR($I1555="Čaká na integráciu",$J1555="Integrácia"),"ÁNO","")</f>
        <v/>
      </c>
      <c r="L1555" t="str">
        <f>IF(OR($I1555="Čaká na biznis",$J1555="Biznis",$J1555="Švédsky biznis"),"ÁNO","")</f>
        <v/>
      </c>
      <c r="N1555" s="2"/>
      <c r="O1555" s="3"/>
      <c r="Q1555"/>
      <c r="R1555" s="3"/>
      <c r="S1555" s="3"/>
      <c r="T1555"/>
      <c r="U1555"/>
      <c r="V1555"/>
      <c r="W1555"/>
      <c r="Z1555"/>
      <c r="AA1555"/>
      <c r="AD1555"/>
    </row>
    <row r="1556" spans="11:30" ht="18" customHeight="1">
      <c r="K1556" t="str">
        <f>IF(OR($I1556="Čaká na integráciu",$J1556="Integrácia"),"ÁNO","")</f>
        <v/>
      </c>
      <c r="L1556" t="str">
        <f>IF(OR($I1556="Čaká na biznis",$J1556="Biznis",$J1556="Švédsky biznis"),"ÁNO","")</f>
        <v/>
      </c>
      <c r="N1556" s="2"/>
      <c r="O1556" s="3"/>
      <c r="Q1556"/>
      <c r="R1556" s="3"/>
      <c r="S1556" s="3"/>
      <c r="T1556"/>
      <c r="U1556"/>
      <c r="V1556"/>
      <c r="W1556"/>
      <c r="Z1556"/>
      <c r="AA1556"/>
      <c r="AD1556"/>
    </row>
    <row r="1557" spans="11:30" ht="18" customHeight="1">
      <c r="K1557" t="str">
        <f>IF(OR($I1557="Čaká na integráciu",$J1557="Integrácia"),"ÁNO","")</f>
        <v/>
      </c>
      <c r="L1557" t="str">
        <f>IF(OR($I1557="Čaká na biznis",$J1557="Biznis",$J1557="Švédsky biznis"),"ÁNO","")</f>
        <v/>
      </c>
      <c r="N1557" s="2"/>
      <c r="O1557" s="3"/>
      <c r="Q1557"/>
      <c r="R1557" s="3"/>
      <c r="S1557" s="3"/>
      <c r="T1557"/>
      <c r="U1557"/>
      <c r="V1557"/>
      <c r="W1557"/>
      <c r="Z1557"/>
      <c r="AA1557"/>
      <c r="AD1557"/>
    </row>
    <row r="1558" spans="11:30" ht="18" customHeight="1">
      <c r="K1558" t="str">
        <f>IF(OR($I1558="Čaká na integráciu",$J1558="Integrácia"),"ÁNO","")</f>
        <v/>
      </c>
      <c r="L1558" t="str">
        <f>IF(OR($I1558="Čaká na biznis",$J1558="Biznis",$J1558="Švédsky biznis"),"ÁNO","")</f>
        <v/>
      </c>
      <c r="N1558" s="2"/>
      <c r="O1558" s="3"/>
      <c r="Q1558"/>
      <c r="R1558" s="3"/>
      <c r="S1558" s="3"/>
      <c r="T1558"/>
      <c r="U1558"/>
      <c r="V1558"/>
      <c r="W1558"/>
      <c r="Z1558"/>
      <c r="AA1558"/>
      <c r="AD1558"/>
    </row>
    <row r="1559" spans="11:30" ht="18" customHeight="1">
      <c r="K1559" t="str">
        <f>IF(OR($I1559="Čaká na integráciu",$J1559="Integrácia"),"ÁNO","")</f>
        <v/>
      </c>
      <c r="L1559" t="str">
        <f>IF(OR($I1559="Čaká na biznis",$J1559="Biznis",$J1559="Švédsky biznis"),"ÁNO","")</f>
        <v/>
      </c>
      <c r="N1559" s="2"/>
      <c r="O1559" s="3"/>
      <c r="Q1559"/>
      <c r="R1559" s="3"/>
      <c r="S1559" s="3"/>
      <c r="T1559"/>
      <c r="U1559"/>
      <c r="V1559"/>
      <c r="W1559"/>
      <c r="Z1559"/>
      <c r="AA1559"/>
      <c r="AD1559"/>
    </row>
    <row r="1560" spans="11:30" ht="18" customHeight="1">
      <c r="K1560" t="str">
        <f>IF(OR($I1560="Čaká na integráciu",$J1560="Integrácia"),"ÁNO","")</f>
        <v/>
      </c>
      <c r="L1560" t="str">
        <f>IF(OR($I1560="Čaká na biznis",$J1560="Biznis",$J1560="Švédsky biznis"),"ÁNO","")</f>
        <v/>
      </c>
      <c r="N1560" s="2"/>
      <c r="O1560" s="3"/>
      <c r="Q1560"/>
      <c r="R1560" s="3"/>
      <c r="S1560" s="3"/>
      <c r="T1560"/>
      <c r="U1560"/>
      <c r="V1560"/>
      <c r="W1560"/>
      <c r="Z1560"/>
      <c r="AA1560"/>
      <c r="AD1560"/>
    </row>
    <row r="1561" spans="11:30" ht="18" customHeight="1">
      <c r="K1561" t="str">
        <f>IF(OR($I1561="Čaká na integráciu",$J1561="Integrácia"),"ÁNO","")</f>
        <v/>
      </c>
      <c r="L1561" t="str">
        <f>IF(OR($I1561="Čaká na biznis",$J1561="Biznis",$J1561="Švédsky biznis"),"ÁNO","")</f>
        <v/>
      </c>
      <c r="N1561" s="2"/>
      <c r="O1561" s="3"/>
      <c r="Q1561"/>
      <c r="R1561" s="3"/>
      <c r="S1561" s="3"/>
      <c r="T1561"/>
      <c r="U1561"/>
      <c r="V1561"/>
      <c r="W1561"/>
      <c r="Z1561"/>
      <c r="AA1561"/>
      <c r="AD1561"/>
    </row>
    <row r="1562" spans="11:30" ht="18" customHeight="1">
      <c r="K1562" t="str">
        <f>IF(OR($I1562="Čaká na integráciu",$J1562="Integrácia"),"ÁNO","")</f>
        <v/>
      </c>
      <c r="L1562" t="str">
        <f>IF(OR($I1562="Čaká na biznis",$J1562="Biznis",$J1562="Švédsky biznis"),"ÁNO","")</f>
        <v/>
      </c>
      <c r="N1562" s="2"/>
      <c r="O1562" s="3"/>
      <c r="Q1562"/>
      <c r="R1562" s="3"/>
      <c r="S1562" s="3"/>
      <c r="T1562"/>
      <c r="U1562"/>
      <c r="V1562"/>
      <c r="W1562"/>
      <c r="Z1562"/>
      <c r="AA1562"/>
      <c r="AD1562"/>
    </row>
    <row r="1563" spans="11:30" ht="18" customHeight="1">
      <c r="K1563" t="str">
        <f>IF(OR($I1563="Čaká na integráciu",$J1563="Integrácia"),"ÁNO","")</f>
        <v/>
      </c>
      <c r="L1563" t="str">
        <f>IF(OR($I1563="Čaká na biznis",$J1563="Biznis",$J1563="Švédsky biznis"),"ÁNO","")</f>
        <v/>
      </c>
      <c r="N1563" s="2"/>
      <c r="O1563" s="3"/>
      <c r="Q1563"/>
      <c r="R1563" s="3"/>
      <c r="S1563" s="3"/>
      <c r="T1563"/>
      <c r="U1563"/>
      <c r="V1563"/>
      <c r="W1563"/>
      <c r="Z1563"/>
      <c r="AA1563"/>
      <c r="AD1563"/>
    </row>
    <row r="1564" spans="11:30" ht="18" customHeight="1">
      <c r="K1564" t="str">
        <f>IF(OR($I1564="Čaká na integráciu",$J1564="Integrácia"),"ÁNO","")</f>
        <v/>
      </c>
      <c r="L1564" t="str">
        <f>IF(OR($I1564="Čaká na biznis",$J1564="Biznis",$J1564="Švédsky biznis"),"ÁNO","")</f>
        <v/>
      </c>
      <c r="N1564" s="2"/>
      <c r="O1564" s="3"/>
      <c r="Q1564"/>
      <c r="R1564" s="3"/>
      <c r="S1564" s="3"/>
      <c r="T1564"/>
      <c r="U1564"/>
      <c r="V1564"/>
      <c r="W1564"/>
      <c r="Z1564"/>
      <c r="AA1564"/>
      <c r="AD1564"/>
    </row>
    <row r="1565" spans="11:30" ht="18" customHeight="1">
      <c r="K1565" t="str">
        <f>IF(OR($I1565="Čaká na integráciu",$J1565="Integrácia"),"ÁNO","")</f>
        <v/>
      </c>
      <c r="L1565" t="str">
        <f>IF(OR($I1565="Čaká na biznis",$J1565="Biznis",$J1565="Švédsky biznis"),"ÁNO","")</f>
        <v/>
      </c>
      <c r="N1565" s="2"/>
      <c r="O1565" s="3"/>
      <c r="Q1565"/>
      <c r="R1565" s="3"/>
      <c r="S1565" s="3"/>
      <c r="T1565"/>
      <c r="U1565"/>
      <c r="V1565"/>
      <c r="W1565"/>
      <c r="Z1565"/>
      <c r="AA1565"/>
      <c r="AD1565"/>
    </row>
    <row r="1566" spans="11:30" ht="18" customHeight="1">
      <c r="K1566" t="str">
        <f>IF(OR($I1566="Čaká na integráciu",$J1566="Integrácia"),"ÁNO","")</f>
        <v/>
      </c>
      <c r="L1566" t="str">
        <f>IF(OR($I1566="Čaká na biznis",$J1566="Biznis",$J1566="Švédsky biznis"),"ÁNO","")</f>
        <v/>
      </c>
      <c r="N1566" s="2"/>
      <c r="O1566" s="3"/>
      <c r="Q1566"/>
      <c r="R1566" s="3"/>
      <c r="S1566" s="3"/>
      <c r="T1566"/>
      <c r="U1566"/>
      <c r="V1566"/>
      <c r="W1566"/>
      <c r="Z1566"/>
      <c r="AA1566"/>
      <c r="AD1566"/>
    </row>
    <row r="1567" spans="11:30" ht="18" customHeight="1">
      <c r="K1567" t="str">
        <f>IF(OR($I1567="Čaká na integráciu",$J1567="Integrácia"),"ÁNO","")</f>
        <v/>
      </c>
      <c r="L1567" t="str">
        <f>IF(OR($I1567="Čaká na biznis",$J1567="Biznis",$J1567="Švédsky biznis"),"ÁNO","")</f>
        <v/>
      </c>
      <c r="N1567" s="2"/>
      <c r="O1567" s="3"/>
      <c r="Q1567"/>
      <c r="R1567" s="3"/>
      <c r="S1567" s="3"/>
      <c r="T1567"/>
      <c r="U1567"/>
      <c r="V1567"/>
      <c r="W1567"/>
      <c r="Z1567"/>
      <c r="AA1567"/>
      <c r="AD1567"/>
    </row>
    <row r="1568" spans="11:30" ht="18" customHeight="1">
      <c r="K1568" t="str">
        <f>IF(OR($I1568="Čaká na integráciu",$J1568="Integrácia"),"ÁNO","")</f>
        <v/>
      </c>
      <c r="L1568" t="str">
        <f>IF(OR($I1568="Čaká na biznis",$J1568="Biznis",$J1568="Švédsky biznis"),"ÁNO","")</f>
        <v/>
      </c>
      <c r="N1568" s="2"/>
      <c r="O1568" s="3"/>
      <c r="Q1568"/>
      <c r="R1568" s="3"/>
      <c r="S1568" s="3"/>
      <c r="T1568"/>
      <c r="U1568"/>
      <c r="V1568"/>
      <c r="W1568"/>
      <c r="Z1568"/>
      <c r="AA1568"/>
      <c r="AD1568"/>
    </row>
    <row r="1569" spans="11:30" ht="18" customHeight="1">
      <c r="K1569" t="str">
        <f>IF(OR($I1569="Čaká na integráciu",$J1569="Integrácia"),"ÁNO","")</f>
        <v/>
      </c>
      <c r="L1569" t="str">
        <f>IF(OR($I1569="Čaká na biznis",$J1569="Biznis",$J1569="Švédsky biznis"),"ÁNO","")</f>
        <v/>
      </c>
      <c r="N1569" s="2"/>
      <c r="O1569" s="3"/>
      <c r="Q1569"/>
      <c r="R1569" s="3"/>
      <c r="S1569" s="3"/>
      <c r="T1569"/>
      <c r="U1569"/>
      <c r="V1569"/>
      <c r="W1569"/>
      <c r="Z1569"/>
      <c r="AA1569"/>
      <c r="AD1569"/>
    </row>
    <row r="1570" spans="11:30" ht="18" customHeight="1">
      <c r="K1570" t="str">
        <f>IF(OR($I1570="Čaká na integráciu",$J1570="Integrácia"),"ÁNO","")</f>
        <v/>
      </c>
      <c r="L1570" t="str">
        <f>IF(OR($I1570="Čaká na biznis",$J1570="Biznis",$J1570="Švédsky biznis"),"ÁNO","")</f>
        <v/>
      </c>
      <c r="N1570" s="2"/>
      <c r="O1570" s="3"/>
      <c r="Q1570"/>
      <c r="R1570" s="3"/>
      <c r="S1570" s="3"/>
      <c r="T1570"/>
      <c r="U1570"/>
      <c r="V1570"/>
      <c r="W1570"/>
      <c r="Z1570"/>
      <c r="AA1570"/>
      <c r="AD1570"/>
    </row>
    <row r="1571" spans="11:30" ht="18" customHeight="1">
      <c r="K1571" t="str">
        <f>IF(OR($I1571="Čaká na integráciu",$J1571="Integrácia"),"ÁNO","")</f>
        <v/>
      </c>
      <c r="L1571" t="str">
        <f>IF(OR($I1571="Čaká na biznis",$J1571="Biznis",$J1571="Švédsky biznis"),"ÁNO","")</f>
        <v/>
      </c>
      <c r="N1571" s="2"/>
      <c r="O1571" s="3"/>
      <c r="Q1571"/>
      <c r="R1571" s="3"/>
      <c r="S1571" s="3"/>
      <c r="T1571"/>
      <c r="U1571"/>
      <c r="V1571"/>
      <c r="W1571"/>
      <c r="Z1571"/>
      <c r="AA1571"/>
      <c r="AD1571"/>
    </row>
    <row r="1572" spans="11:30" ht="18" customHeight="1">
      <c r="K1572" t="str">
        <f>IF(OR($I1572="Čaká na integráciu",$J1572="Integrácia"),"ÁNO","")</f>
        <v/>
      </c>
      <c r="L1572" t="str">
        <f>IF(OR($I1572="Čaká na biznis",$J1572="Biznis",$J1572="Švédsky biznis"),"ÁNO","")</f>
        <v/>
      </c>
      <c r="N1572" s="2"/>
      <c r="O1572" s="3"/>
      <c r="Q1572"/>
      <c r="R1572" s="3"/>
      <c r="S1572" s="3"/>
      <c r="T1572"/>
      <c r="U1572"/>
      <c r="V1572"/>
      <c r="W1572"/>
      <c r="Z1572"/>
      <c r="AA1572"/>
      <c r="AD1572"/>
    </row>
    <row r="1573" spans="11:30" ht="18" customHeight="1">
      <c r="K1573" t="str">
        <f>IF(OR($I1573="Čaká na integráciu",$J1573="Integrácia"),"ÁNO","")</f>
        <v/>
      </c>
      <c r="L1573" t="str">
        <f>IF(OR($I1573="Čaká na biznis",$J1573="Biznis",$J1573="Švédsky biznis"),"ÁNO","")</f>
        <v/>
      </c>
      <c r="N1573" s="2"/>
      <c r="O1573" s="3"/>
      <c r="Q1573"/>
      <c r="R1573" s="3"/>
      <c r="S1573" s="3"/>
      <c r="T1573"/>
      <c r="U1573"/>
      <c r="V1573"/>
      <c r="W1573"/>
      <c r="Z1573"/>
      <c r="AA1573"/>
      <c r="AD1573"/>
    </row>
    <row r="1574" spans="11:30" ht="18" customHeight="1">
      <c r="K1574" t="str">
        <f>IF(OR($I1574="Čaká na integráciu",$J1574="Integrácia"),"ÁNO","")</f>
        <v/>
      </c>
      <c r="L1574" t="str">
        <f>IF(OR($I1574="Čaká na biznis",$J1574="Biznis",$J1574="Švédsky biznis"),"ÁNO","")</f>
        <v/>
      </c>
      <c r="N1574" s="2"/>
      <c r="O1574" s="3"/>
      <c r="Q1574"/>
      <c r="R1574" s="3"/>
      <c r="S1574" s="3"/>
      <c r="T1574"/>
      <c r="U1574"/>
      <c r="V1574"/>
      <c r="W1574"/>
      <c r="Z1574"/>
      <c r="AA1574"/>
      <c r="AD1574"/>
    </row>
    <row r="1575" spans="11:30" ht="18" customHeight="1">
      <c r="K1575" t="str">
        <f>IF(OR($I1575="Čaká na integráciu",$J1575="Integrácia"),"ÁNO","")</f>
        <v/>
      </c>
      <c r="L1575" t="str">
        <f>IF(OR($I1575="Čaká na biznis",$J1575="Biznis",$J1575="Švédsky biznis"),"ÁNO","")</f>
        <v/>
      </c>
      <c r="N1575" s="2"/>
      <c r="O1575" s="3"/>
      <c r="Q1575"/>
      <c r="R1575" s="3"/>
      <c r="S1575" s="3"/>
      <c r="T1575"/>
      <c r="U1575"/>
      <c r="V1575"/>
      <c r="W1575"/>
      <c r="Z1575"/>
      <c r="AA1575"/>
      <c r="AD1575"/>
    </row>
    <row r="1576" spans="11:30" ht="18" customHeight="1">
      <c r="K1576" t="str">
        <f>IF(OR($I1576="Čaká na integráciu",$J1576="Integrácia"),"ÁNO","")</f>
        <v/>
      </c>
      <c r="L1576" t="str">
        <f>IF(OR($I1576="Čaká na biznis",$J1576="Biznis",$J1576="Švédsky biznis"),"ÁNO","")</f>
        <v/>
      </c>
      <c r="N1576" s="2"/>
      <c r="O1576" s="3"/>
      <c r="Q1576"/>
      <c r="R1576" s="3"/>
      <c r="S1576" s="3"/>
      <c r="T1576"/>
      <c r="U1576"/>
      <c r="V1576"/>
      <c r="W1576"/>
      <c r="Z1576"/>
      <c r="AA1576"/>
      <c r="AD1576"/>
    </row>
    <row r="1577" spans="11:30" ht="18" customHeight="1">
      <c r="K1577" t="str">
        <f>IF(OR($I1577="Čaká na integráciu",$J1577="Integrácia"),"ÁNO","")</f>
        <v/>
      </c>
      <c r="L1577" t="str">
        <f>IF(OR($I1577="Čaká na biznis",$J1577="Biznis",$J1577="Švédsky biznis"),"ÁNO","")</f>
        <v/>
      </c>
      <c r="N1577" s="2"/>
      <c r="O1577" s="3"/>
      <c r="Q1577"/>
      <c r="R1577" s="3"/>
      <c r="S1577" s="3"/>
      <c r="T1577"/>
      <c r="U1577"/>
      <c r="V1577"/>
      <c r="W1577"/>
      <c r="Z1577"/>
      <c r="AA1577"/>
      <c r="AD1577"/>
    </row>
    <row r="1578" spans="11:30" ht="18" customHeight="1">
      <c r="K1578" t="str">
        <f>IF(OR($I1578="Čaká na integráciu",$J1578="Integrácia"),"ÁNO","")</f>
        <v/>
      </c>
      <c r="L1578" t="str">
        <f>IF(OR($I1578="Čaká na biznis",$J1578="Biznis",$J1578="Švédsky biznis"),"ÁNO","")</f>
        <v/>
      </c>
      <c r="N1578" s="2"/>
      <c r="O1578" s="3"/>
      <c r="Q1578"/>
      <c r="R1578" s="3"/>
      <c r="S1578" s="3"/>
      <c r="T1578"/>
      <c r="U1578"/>
      <c r="V1578"/>
      <c r="W1578"/>
      <c r="Z1578"/>
      <c r="AA1578"/>
      <c r="AD1578"/>
    </row>
    <row r="1579" spans="11:30" ht="18" customHeight="1">
      <c r="K1579" t="str">
        <f>IF(OR($I1579="Čaká na integráciu",$J1579="Integrácia"),"ÁNO","")</f>
        <v/>
      </c>
      <c r="L1579" t="str">
        <f>IF(OR($I1579="Čaká na biznis",$J1579="Biznis",$J1579="Švédsky biznis"),"ÁNO","")</f>
        <v/>
      </c>
      <c r="N1579" s="2"/>
      <c r="O1579" s="3"/>
      <c r="Q1579"/>
      <c r="R1579" s="3"/>
      <c r="S1579" s="3"/>
      <c r="T1579"/>
      <c r="U1579"/>
      <c r="V1579"/>
      <c r="W1579"/>
      <c r="Z1579"/>
      <c r="AA1579"/>
      <c r="AD1579"/>
    </row>
    <row r="1580" spans="11:30" ht="18" customHeight="1">
      <c r="K1580" t="str">
        <f>IF(OR($I1580="Čaká na integráciu",$J1580="Integrácia"),"ÁNO","")</f>
        <v/>
      </c>
      <c r="L1580" t="str">
        <f>IF(OR($I1580="Čaká na biznis",$J1580="Biznis",$J1580="Švédsky biznis"),"ÁNO","")</f>
        <v/>
      </c>
      <c r="N1580" s="2"/>
      <c r="O1580" s="3"/>
      <c r="Q1580"/>
      <c r="R1580" s="3"/>
      <c r="S1580" s="3"/>
      <c r="T1580"/>
      <c r="U1580"/>
      <c r="V1580"/>
      <c r="W1580"/>
      <c r="Z1580"/>
      <c r="AA1580"/>
      <c r="AD1580"/>
    </row>
    <row r="1581" spans="11:30" ht="18" customHeight="1">
      <c r="K1581" t="str">
        <f>IF(OR($I1581="Čaká na integráciu",$J1581="Integrácia"),"ÁNO","")</f>
        <v/>
      </c>
      <c r="L1581" t="str">
        <f>IF(OR($I1581="Čaká na biznis",$J1581="Biznis",$J1581="Švédsky biznis"),"ÁNO","")</f>
        <v/>
      </c>
      <c r="N1581" s="2"/>
      <c r="O1581" s="3"/>
      <c r="Q1581"/>
      <c r="R1581" s="3"/>
      <c r="S1581" s="3"/>
      <c r="T1581"/>
      <c r="U1581"/>
      <c r="V1581"/>
      <c r="W1581"/>
      <c r="Z1581"/>
      <c r="AA1581"/>
      <c r="AD1581"/>
    </row>
    <row r="1582" spans="11:30" ht="18" customHeight="1">
      <c r="K1582" t="str">
        <f>IF(OR($I1582="Čaká na integráciu",$J1582="Integrácia"),"ÁNO","")</f>
        <v/>
      </c>
      <c r="L1582" t="str">
        <f>IF(OR($I1582="Čaká na biznis",$J1582="Biznis",$J1582="Švédsky biznis"),"ÁNO","")</f>
        <v/>
      </c>
      <c r="N1582" s="2"/>
      <c r="O1582" s="3"/>
      <c r="Q1582"/>
      <c r="R1582" s="3"/>
      <c r="S1582" s="3"/>
      <c r="T1582"/>
      <c r="U1582"/>
      <c r="V1582"/>
      <c r="W1582"/>
      <c r="Z1582"/>
      <c r="AA1582"/>
      <c r="AD1582"/>
    </row>
    <row r="1583" spans="11:30" ht="18" customHeight="1">
      <c r="K1583" t="str">
        <f>IF(OR($I1583="Čaká na integráciu",$J1583="Integrácia"),"ÁNO","")</f>
        <v/>
      </c>
      <c r="L1583" t="str">
        <f>IF(OR($I1583="Čaká na biznis",$J1583="Biznis",$J1583="Švédsky biznis"),"ÁNO","")</f>
        <v/>
      </c>
      <c r="N1583" s="2"/>
      <c r="O1583" s="3"/>
      <c r="Q1583"/>
      <c r="R1583" s="3"/>
      <c r="S1583" s="3"/>
      <c r="T1583"/>
      <c r="U1583"/>
      <c r="V1583"/>
      <c r="W1583"/>
      <c r="Z1583"/>
      <c r="AA1583"/>
      <c r="AD1583"/>
    </row>
    <row r="1584" spans="11:30" ht="18" customHeight="1">
      <c r="K1584" t="str">
        <f>IF(OR($I1584="Čaká na integráciu",$J1584="Integrácia"),"ÁNO","")</f>
        <v/>
      </c>
      <c r="L1584" t="str">
        <f>IF(OR($I1584="Čaká na biznis",$J1584="Biznis",$J1584="Švédsky biznis"),"ÁNO","")</f>
        <v/>
      </c>
      <c r="N1584" s="2"/>
      <c r="O1584" s="3"/>
      <c r="Q1584"/>
      <c r="R1584" s="3"/>
      <c r="S1584" s="3"/>
      <c r="T1584"/>
      <c r="U1584"/>
      <c r="V1584"/>
      <c r="W1584"/>
      <c r="Z1584"/>
      <c r="AA1584"/>
      <c r="AD1584"/>
    </row>
    <row r="1585" spans="11:30" ht="18" customHeight="1">
      <c r="K1585" t="str">
        <f>IF(OR($I1585="Čaká na integráciu",$J1585="Integrácia"),"ÁNO","")</f>
        <v/>
      </c>
      <c r="L1585" t="str">
        <f>IF(OR($I1585="Čaká na biznis",$J1585="Biznis",$J1585="Švédsky biznis"),"ÁNO","")</f>
        <v/>
      </c>
      <c r="N1585" s="2"/>
      <c r="O1585" s="3"/>
      <c r="Q1585"/>
      <c r="R1585" s="3"/>
      <c r="S1585" s="3"/>
      <c r="T1585"/>
      <c r="U1585"/>
      <c r="V1585"/>
      <c r="W1585"/>
      <c r="Z1585"/>
      <c r="AA1585"/>
      <c r="AD1585"/>
    </row>
    <row r="1586" spans="11:30" ht="18" customHeight="1">
      <c r="K1586" t="str">
        <f>IF(OR($I1586="Čaká na integráciu",$J1586="Integrácia"),"ÁNO","")</f>
        <v/>
      </c>
      <c r="L1586" t="str">
        <f>IF(OR($I1586="Čaká na biznis",$J1586="Biznis",$J1586="Švédsky biznis"),"ÁNO","")</f>
        <v/>
      </c>
      <c r="N1586" s="2"/>
      <c r="O1586" s="3"/>
      <c r="Q1586"/>
      <c r="R1586" s="3"/>
      <c r="S1586" s="3"/>
      <c r="T1586"/>
      <c r="U1586"/>
      <c r="V1586"/>
      <c r="W1586"/>
      <c r="Z1586"/>
      <c r="AA1586"/>
      <c r="AD1586"/>
    </row>
    <row r="1587" spans="11:30" ht="18" customHeight="1">
      <c r="K1587" t="str">
        <f>IF(OR($I1587="Čaká na integráciu",$J1587="Integrácia"),"ÁNO","")</f>
        <v/>
      </c>
      <c r="L1587" t="str">
        <f>IF(OR($I1587="Čaká na biznis",$J1587="Biznis",$J1587="Švédsky biznis"),"ÁNO","")</f>
        <v/>
      </c>
      <c r="N1587" s="2"/>
      <c r="O1587" s="3"/>
      <c r="Q1587"/>
      <c r="R1587" s="3"/>
      <c r="S1587" s="3"/>
      <c r="T1587"/>
      <c r="U1587"/>
      <c r="V1587"/>
      <c r="W1587"/>
      <c r="Z1587"/>
      <c r="AA1587"/>
      <c r="AD1587"/>
    </row>
    <row r="1588" spans="11:30" ht="18" customHeight="1">
      <c r="K1588" t="str">
        <f>IF(OR($I1588="Čaká na integráciu",$J1588="Integrácia"),"ÁNO","")</f>
        <v/>
      </c>
      <c r="L1588" t="str">
        <f>IF(OR($I1588="Čaká na biznis",$J1588="Biznis",$J1588="Švédsky biznis"),"ÁNO","")</f>
        <v/>
      </c>
      <c r="N1588" s="2"/>
      <c r="O1588" s="3"/>
      <c r="Q1588"/>
      <c r="R1588" s="3"/>
      <c r="S1588" s="3"/>
      <c r="T1588"/>
      <c r="U1588"/>
      <c r="V1588"/>
      <c r="W1588"/>
      <c r="Z1588"/>
      <c r="AA1588"/>
      <c r="AD1588"/>
    </row>
    <row r="1589" spans="11:30" ht="18" customHeight="1">
      <c r="K1589" t="str">
        <f>IF(OR($I1589="Čaká na integráciu",$J1589="Integrácia"),"ÁNO","")</f>
        <v/>
      </c>
      <c r="L1589" t="str">
        <f>IF(OR($I1589="Čaká na biznis",$J1589="Biznis",$J1589="Švédsky biznis"),"ÁNO","")</f>
        <v/>
      </c>
      <c r="N1589" s="2"/>
      <c r="O1589" s="3"/>
      <c r="Q1589"/>
      <c r="R1589" s="3"/>
      <c r="S1589" s="3"/>
      <c r="T1589"/>
      <c r="U1589"/>
      <c r="V1589"/>
      <c r="W1589"/>
      <c r="Z1589"/>
      <c r="AA1589"/>
      <c r="AD1589"/>
    </row>
    <row r="1590" spans="11:30" ht="18" customHeight="1">
      <c r="K1590" t="str">
        <f>IF(OR($I1590="Čaká na integráciu",$J1590="Integrácia"),"ÁNO","")</f>
        <v/>
      </c>
      <c r="L1590" t="str">
        <f>IF(OR($I1590="Čaká na biznis",$J1590="Biznis",$J1590="Švédsky biznis"),"ÁNO","")</f>
        <v/>
      </c>
      <c r="N1590" s="2"/>
      <c r="O1590" s="3"/>
      <c r="Q1590"/>
      <c r="R1590" s="3"/>
      <c r="S1590" s="3"/>
      <c r="T1590"/>
      <c r="U1590"/>
      <c r="V1590"/>
      <c r="W1590"/>
      <c r="Z1590"/>
      <c r="AA1590"/>
      <c r="AD1590"/>
    </row>
    <row r="1591" spans="11:30" ht="18" customHeight="1">
      <c r="K1591" t="str">
        <f>IF(OR($I1591="Čaká na integráciu",$J1591="Integrácia"),"ÁNO","")</f>
        <v/>
      </c>
      <c r="L1591" t="str">
        <f>IF(OR($I1591="Čaká na biznis",$J1591="Biznis",$J1591="Švédsky biznis"),"ÁNO","")</f>
        <v/>
      </c>
      <c r="N1591" s="2"/>
      <c r="O1591" s="3"/>
      <c r="Q1591"/>
      <c r="R1591" s="3"/>
      <c r="S1591" s="3"/>
      <c r="T1591"/>
      <c r="U1591"/>
      <c r="V1591"/>
      <c r="W1591"/>
      <c r="Z1591"/>
      <c r="AA1591"/>
      <c r="AD1591"/>
    </row>
    <row r="1592" spans="11:30" ht="18" customHeight="1">
      <c r="K1592" t="str">
        <f>IF(OR($I1592="Čaká na integráciu",$J1592="Integrácia"),"ÁNO","")</f>
        <v/>
      </c>
      <c r="L1592" t="str">
        <f>IF(OR($I1592="Čaká na biznis",$J1592="Biznis",$J1592="Švédsky biznis"),"ÁNO","")</f>
        <v/>
      </c>
      <c r="N1592" s="2"/>
      <c r="O1592" s="3"/>
      <c r="Q1592"/>
      <c r="R1592" s="3"/>
      <c r="S1592" s="3"/>
      <c r="T1592"/>
      <c r="U1592"/>
      <c r="V1592"/>
      <c r="W1592"/>
      <c r="Z1592"/>
      <c r="AA1592"/>
      <c r="AD1592"/>
    </row>
    <row r="1593" spans="11:30" ht="18" customHeight="1">
      <c r="K1593" t="str">
        <f>IF(OR($I1593="Čaká na integráciu",$J1593="Integrácia"),"ÁNO","")</f>
        <v/>
      </c>
      <c r="L1593" t="str">
        <f>IF(OR($I1593="Čaká na biznis",$J1593="Biznis",$J1593="Švédsky biznis"),"ÁNO","")</f>
        <v/>
      </c>
      <c r="N1593" s="2"/>
      <c r="O1593" s="3"/>
      <c r="Q1593"/>
      <c r="R1593" s="3"/>
      <c r="S1593" s="3"/>
      <c r="T1593"/>
      <c r="U1593"/>
      <c r="V1593"/>
      <c r="W1593"/>
      <c r="Z1593"/>
      <c r="AA1593"/>
      <c r="AD1593"/>
    </row>
    <row r="1594" spans="11:30" ht="18" customHeight="1">
      <c r="K1594" t="str">
        <f>IF(OR($I1594="Čaká na integráciu",$J1594="Integrácia"),"ÁNO","")</f>
        <v/>
      </c>
      <c r="L1594" t="str">
        <f>IF(OR($I1594="Čaká na biznis",$J1594="Biznis",$J1594="Švédsky biznis"),"ÁNO","")</f>
        <v/>
      </c>
      <c r="N1594" s="2"/>
      <c r="O1594" s="3"/>
      <c r="Q1594"/>
      <c r="R1594" s="3"/>
      <c r="S1594" s="3"/>
      <c r="T1594"/>
      <c r="U1594"/>
      <c r="V1594"/>
      <c r="W1594"/>
      <c r="Z1594"/>
      <c r="AA1594"/>
      <c r="AD1594"/>
    </row>
    <row r="1595" spans="11:30" ht="18" customHeight="1">
      <c r="K1595" t="str">
        <f>IF(OR($I1595="Čaká na integráciu",$J1595="Integrácia"),"ÁNO","")</f>
        <v/>
      </c>
      <c r="L1595" t="str">
        <f>IF(OR($I1595="Čaká na biznis",$J1595="Biznis",$J1595="Švédsky biznis"),"ÁNO","")</f>
        <v/>
      </c>
      <c r="N1595" s="2"/>
      <c r="O1595" s="3"/>
      <c r="Q1595"/>
      <c r="R1595" s="3"/>
      <c r="S1595" s="3"/>
      <c r="T1595"/>
      <c r="U1595"/>
      <c r="V1595"/>
      <c r="W1595"/>
      <c r="Z1595"/>
      <c r="AA1595"/>
      <c r="AD1595"/>
    </row>
    <row r="1596" spans="11:30" ht="18" customHeight="1">
      <c r="K1596" t="str">
        <f>IF(OR($I1596="Čaká na integráciu",$J1596="Integrácia"),"ÁNO","")</f>
        <v/>
      </c>
      <c r="L1596" t="str">
        <f>IF(OR($I1596="Čaká na biznis",$J1596="Biznis",$J1596="Švédsky biznis"),"ÁNO","")</f>
        <v/>
      </c>
      <c r="N1596" s="2"/>
      <c r="O1596" s="3"/>
      <c r="Q1596"/>
      <c r="R1596" s="3"/>
      <c r="S1596" s="3"/>
      <c r="T1596"/>
      <c r="U1596"/>
      <c r="V1596"/>
      <c r="W1596"/>
      <c r="Z1596"/>
      <c r="AA1596"/>
      <c r="AD1596"/>
    </row>
    <row r="1597" spans="11:30" ht="18" customHeight="1">
      <c r="K1597" t="str">
        <f>IF(OR($I1597="Čaká na integráciu",$J1597="Integrácia"),"ÁNO","")</f>
        <v/>
      </c>
      <c r="L1597" t="str">
        <f>IF(OR($I1597="Čaká na biznis",$J1597="Biznis",$J1597="Švédsky biznis"),"ÁNO","")</f>
        <v/>
      </c>
      <c r="N1597" s="2"/>
      <c r="O1597" s="3"/>
      <c r="Q1597"/>
      <c r="R1597" s="3"/>
      <c r="S1597" s="3"/>
      <c r="T1597"/>
      <c r="U1597"/>
      <c r="V1597"/>
      <c r="W1597"/>
      <c r="Z1597"/>
      <c r="AA1597"/>
      <c r="AD1597"/>
    </row>
    <row r="1598" spans="11:30" ht="18" customHeight="1">
      <c r="K1598" t="str">
        <f>IF(OR($I1598="Čaká na integráciu",$J1598="Integrácia"),"ÁNO","")</f>
        <v/>
      </c>
      <c r="L1598" t="str">
        <f>IF(OR($I1598="Čaká na biznis",$J1598="Biznis",$J1598="Švédsky biznis"),"ÁNO","")</f>
        <v/>
      </c>
      <c r="N1598" s="2"/>
      <c r="O1598" s="3"/>
      <c r="Q1598"/>
      <c r="R1598" s="3"/>
      <c r="S1598" s="3"/>
      <c r="T1598"/>
      <c r="U1598"/>
      <c r="V1598"/>
      <c r="W1598"/>
      <c r="Z1598"/>
      <c r="AA1598"/>
      <c r="AD1598"/>
    </row>
    <row r="1599" spans="11:30" ht="18" customHeight="1">
      <c r="K1599" t="str">
        <f>IF(OR($I1599="Čaká na integráciu",$J1599="Integrácia"),"ÁNO","")</f>
        <v/>
      </c>
      <c r="L1599" t="str">
        <f>IF(OR($I1599="Čaká na biznis",$J1599="Biznis",$J1599="Švédsky biznis"),"ÁNO","")</f>
        <v/>
      </c>
      <c r="N1599" s="2"/>
      <c r="O1599" s="3"/>
      <c r="Q1599"/>
      <c r="R1599" s="3"/>
      <c r="S1599" s="3"/>
      <c r="T1599"/>
      <c r="U1599"/>
      <c r="V1599"/>
      <c r="W1599"/>
      <c r="Z1599"/>
      <c r="AA1599"/>
      <c r="AD1599"/>
    </row>
    <row r="1600" spans="11:30" ht="18" customHeight="1">
      <c r="K1600" t="str">
        <f>IF(OR($I1600="Čaká na integráciu",$J1600="Integrácia"),"ÁNO","")</f>
        <v/>
      </c>
      <c r="L1600" t="str">
        <f>IF(OR($I1600="Čaká na biznis",$J1600="Biznis",$J1600="Švédsky biznis"),"ÁNO","")</f>
        <v/>
      </c>
      <c r="N1600" s="2"/>
      <c r="O1600" s="3"/>
      <c r="Q1600"/>
      <c r="R1600" s="3"/>
      <c r="S1600" s="3"/>
      <c r="T1600"/>
      <c r="U1600"/>
      <c r="V1600"/>
      <c r="W1600"/>
      <c r="Z1600"/>
      <c r="AA1600"/>
      <c r="AD1600"/>
    </row>
    <row r="1601" spans="11:30" ht="18" customHeight="1">
      <c r="K1601" t="str">
        <f>IF(OR($I1601="Čaká na integráciu",$J1601="Integrácia"),"ÁNO","")</f>
        <v/>
      </c>
      <c r="L1601" t="str">
        <f>IF(OR($I1601="Čaká na biznis",$J1601="Biznis",$J1601="Švédsky biznis"),"ÁNO","")</f>
        <v/>
      </c>
      <c r="N1601" s="2"/>
      <c r="O1601" s="3"/>
      <c r="Q1601"/>
      <c r="R1601" s="3"/>
      <c r="S1601" s="3"/>
      <c r="T1601"/>
      <c r="U1601"/>
      <c r="V1601"/>
      <c r="W1601"/>
      <c r="Z1601"/>
      <c r="AA1601"/>
      <c r="AD1601"/>
    </row>
    <row r="1602" spans="11:30" ht="18" customHeight="1">
      <c r="K1602" t="str">
        <f>IF(OR($I1602="Čaká na integráciu",$J1602="Integrácia"),"ÁNO","")</f>
        <v/>
      </c>
      <c r="L1602" t="str">
        <f>IF(OR($I1602="Čaká na biznis",$J1602="Biznis",$J1602="Švédsky biznis"),"ÁNO","")</f>
        <v/>
      </c>
      <c r="N1602" s="2"/>
      <c r="O1602" s="3"/>
      <c r="Q1602"/>
      <c r="R1602" s="3"/>
      <c r="S1602" s="3"/>
      <c r="T1602"/>
      <c r="U1602"/>
      <c r="V1602"/>
      <c r="W1602"/>
      <c r="Z1602"/>
      <c r="AA1602"/>
      <c r="AD1602"/>
    </row>
    <row r="1603" spans="11:30" ht="18" customHeight="1">
      <c r="K1603" t="str">
        <f>IF(OR($I1603="Čaká na integráciu",$J1603="Integrácia"),"ÁNO","")</f>
        <v/>
      </c>
      <c r="L1603" t="str">
        <f>IF(OR($I1603="Čaká na biznis",$J1603="Biznis",$J1603="Švédsky biznis"),"ÁNO","")</f>
        <v/>
      </c>
      <c r="N1603" s="2"/>
      <c r="O1603" s="3"/>
      <c r="Q1603"/>
      <c r="R1603" s="3"/>
      <c r="S1603" s="3"/>
      <c r="T1603"/>
      <c r="U1603"/>
      <c r="V1603"/>
      <c r="W1603"/>
      <c r="Z1603"/>
      <c r="AA1603"/>
      <c r="AD1603"/>
    </row>
    <row r="1604" spans="11:30" ht="18" customHeight="1">
      <c r="K1604" t="str">
        <f>IF(OR($I1604="Čaká na integráciu",$J1604="Integrácia"),"ÁNO","")</f>
        <v/>
      </c>
      <c r="L1604" t="str">
        <f>IF(OR($I1604="Čaká na biznis",$J1604="Biznis",$J1604="Švédsky biznis"),"ÁNO","")</f>
        <v/>
      </c>
      <c r="N1604" s="2"/>
      <c r="O1604" s="3"/>
      <c r="Q1604"/>
      <c r="R1604" s="3"/>
      <c r="S1604" s="3"/>
      <c r="T1604"/>
      <c r="U1604"/>
      <c r="V1604"/>
      <c r="W1604"/>
      <c r="Z1604"/>
      <c r="AA1604"/>
      <c r="AD1604"/>
    </row>
    <row r="1605" spans="11:30" ht="18" customHeight="1">
      <c r="K1605" t="str">
        <f>IF(OR($I1605="Čaká na integráciu",$J1605="Integrácia"),"ÁNO","")</f>
        <v/>
      </c>
      <c r="L1605" t="str">
        <f>IF(OR($I1605="Čaká na biznis",$J1605="Biznis",$J1605="Švédsky biznis"),"ÁNO","")</f>
        <v/>
      </c>
      <c r="N1605" s="2"/>
      <c r="O1605" s="3"/>
      <c r="Q1605"/>
      <c r="R1605" s="3"/>
      <c r="S1605" s="3"/>
      <c r="T1605"/>
      <c r="U1605"/>
      <c r="V1605"/>
      <c r="W1605"/>
      <c r="Z1605"/>
      <c r="AA1605"/>
      <c r="AD1605"/>
    </row>
    <row r="1606" spans="11:30" ht="18" customHeight="1">
      <c r="K1606" t="str">
        <f>IF(OR($I1606="Čaká na integráciu",$J1606="Integrácia"),"ÁNO","")</f>
        <v/>
      </c>
      <c r="L1606" t="str">
        <f>IF(OR($I1606="Čaká na biznis",$J1606="Biznis",$J1606="Švédsky biznis"),"ÁNO","")</f>
        <v/>
      </c>
      <c r="N1606" s="2"/>
      <c r="O1606" s="3"/>
      <c r="Q1606"/>
      <c r="R1606" s="3"/>
      <c r="S1606" s="3"/>
      <c r="T1606"/>
      <c r="U1606"/>
      <c r="V1606"/>
      <c r="W1606"/>
      <c r="Z1606"/>
      <c r="AA1606"/>
      <c r="AD1606"/>
    </row>
    <row r="1607" spans="11:30" ht="18" customHeight="1">
      <c r="K1607" t="str">
        <f>IF(OR($I1607="Čaká na integráciu",$J1607="Integrácia"),"ÁNO","")</f>
        <v/>
      </c>
      <c r="L1607" t="str">
        <f>IF(OR($I1607="Čaká na biznis",$J1607="Biznis",$J1607="Švédsky biznis"),"ÁNO","")</f>
        <v/>
      </c>
      <c r="N1607" s="2"/>
      <c r="O1607" s="3"/>
      <c r="Q1607"/>
      <c r="R1607" s="3"/>
      <c r="S1607" s="3"/>
      <c r="T1607"/>
      <c r="U1607"/>
      <c r="V1607"/>
      <c r="W1607"/>
      <c r="Z1607"/>
      <c r="AA1607"/>
      <c r="AD1607"/>
    </row>
    <row r="1608" spans="11:30" ht="18" customHeight="1">
      <c r="K1608" t="str">
        <f>IF(OR($I1608="Čaká na integráciu",$J1608="Integrácia"),"ÁNO","")</f>
        <v/>
      </c>
      <c r="L1608" t="str">
        <f>IF(OR($I1608="Čaká na biznis",$J1608="Biznis",$J1608="Švédsky biznis"),"ÁNO","")</f>
        <v/>
      </c>
      <c r="N1608" s="2"/>
      <c r="O1608" s="3"/>
      <c r="Q1608"/>
      <c r="R1608" s="3"/>
      <c r="S1608" s="3"/>
      <c r="T1608"/>
      <c r="U1608"/>
      <c r="V1608"/>
      <c r="W1608"/>
      <c r="Z1608"/>
      <c r="AA1608"/>
      <c r="AD1608"/>
    </row>
    <row r="1609" spans="11:30" ht="18" customHeight="1">
      <c r="K1609" t="str">
        <f>IF(OR($I1609="Čaká na integráciu",$J1609="Integrácia"),"ÁNO","")</f>
        <v/>
      </c>
      <c r="L1609" t="str">
        <f>IF(OR($I1609="Čaká na biznis",$J1609="Biznis",$J1609="Švédsky biznis"),"ÁNO","")</f>
        <v/>
      </c>
      <c r="N1609" s="2"/>
      <c r="O1609" s="3"/>
      <c r="Q1609"/>
      <c r="R1609" s="3"/>
      <c r="S1609" s="3"/>
      <c r="T1609"/>
      <c r="U1609"/>
      <c r="V1609"/>
      <c r="W1609"/>
      <c r="Z1609"/>
      <c r="AA1609"/>
      <c r="AD1609"/>
    </row>
    <row r="1610" spans="11:30" ht="18" customHeight="1">
      <c r="K1610" t="str">
        <f>IF(OR($I1610="Čaká na integráciu",$J1610="Integrácia"),"ÁNO","")</f>
        <v/>
      </c>
      <c r="L1610" t="str">
        <f>IF(OR($I1610="Čaká na biznis",$J1610="Biznis",$J1610="Švédsky biznis"),"ÁNO","")</f>
        <v/>
      </c>
      <c r="N1610" s="2"/>
      <c r="O1610" s="3"/>
      <c r="Q1610"/>
      <c r="R1610" s="3"/>
      <c r="S1610" s="3"/>
      <c r="T1610"/>
      <c r="U1610"/>
      <c r="V1610"/>
      <c r="W1610"/>
      <c r="Z1610"/>
      <c r="AA1610"/>
      <c r="AD1610"/>
    </row>
    <row r="1611" spans="11:30" ht="18" customHeight="1">
      <c r="K1611" t="str">
        <f>IF(OR($I1611="Čaká na integráciu",$J1611="Integrácia"),"ÁNO","")</f>
        <v/>
      </c>
      <c r="L1611" t="str">
        <f>IF(OR($I1611="Čaká na biznis",$J1611="Biznis",$J1611="Švédsky biznis"),"ÁNO","")</f>
        <v/>
      </c>
      <c r="N1611" s="2"/>
      <c r="O1611" s="3"/>
      <c r="Q1611"/>
      <c r="R1611" s="3"/>
      <c r="S1611" s="3"/>
      <c r="T1611"/>
      <c r="U1611"/>
      <c r="V1611"/>
      <c r="W1611"/>
      <c r="Z1611"/>
      <c r="AA1611"/>
      <c r="AD1611"/>
    </row>
    <row r="1612" spans="11:30" ht="18" customHeight="1">
      <c r="K1612" t="str">
        <f>IF(OR($I1612="Čaká na integráciu",$J1612="Integrácia"),"ÁNO","")</f>
        <v/>
      </c>
      <c r="L1612" t="str">
        <f>IF(OR($I1612="Čaká na biznis",$J1612="Biznis",$J1612="Švédsky biznis"),"ÁNO","")</f>
        <v/>
      </c>
      <c r="N1612" s="2"/>
      <c r="O1612" s="3"/>
      <c r="Q1612"/>
      <c r="R1612" s="3"/>
      <c r="S1612" s="3"/>
      <c r="T1612"/>
      <c r="U1612"/>
      <c r="V1612"/>
      <c r="W1612"/>
      <c r="Z1612"/>
      <c r="AA1612"/>
      <c r="AD1612"/>
    </row>
    <row r="1613" spans="11:30" ht="18" customHeight="1">
      <c r="K1613" t="str">
        <f>IF(OR($I1613="Čaká na integráciu",$J1613="Integrácia"),"ÁNO","")</f>
        <v/>
      </c>
      <c r="L1613" t="str">
        <f>IF(OR($I1613="Čaká na biznis",$J1613="Biznis",$J1613="Švédsky biznis"),"ÁNO","")</f>
        <v/>
      </c>
      <c r="N1613" s="2"/>
      <c r="O1613" s="3"/>
      <c r="Q1613"/>
      <c r="R1613" s="3"/>
      <c r="S1613" s="3"/>
      <c r="T1613"/>
      <c r="U1613"/>
      <c r="V1613"/>
      <c r="W1613"/>
      <c r="Z1613"/>
      <c r="AA1613"/>
      <c r="AD1613"/>
    </row>
    <row r="1614" spans="11:30" ht="18" customHeight="1">
      <c r="K1614" t="str">
        <f>IF(OR($I1614="Čaká na integráciu",$J1614="Integrácia"),"ÁNO","")</f>
        <v/>
      </c>
      <c r="L1614" t="str">
        <f>IF(OR($I1614="Čaká na biznis",$J1614="Biznis",$J1614="Švédsky biznis"),"ÁNO","")</f>
        <v/>
      </c>
      <c r="N1614" s="2"/>
      <c r="O1614" s="3"/>
      <c r="Q1614"/>
      <c r="R1614" s="3"/>
      <c r="S1614" s="3"/>
      <c r="T1614"/>
      <c r="U1614"/>
      <c r="V1614"/>
      <c r="W1614"/>
      <c r="Z1614"/>
      <c r="AA1614"/>
      <c r="AD1614"/>
    </row>
    <row r="1615" spans="11:30" ht="18" customHeight="1">
      <c r="K1615" t="str">
        <f>IF(OR($I1615="Čaká na integráciu",$J1615="Integrácia"),"ÁNO","")</f>
        <v/>
      </c>
      <c r="L1615" t="str">
        <f>IF(OR($I1615="Čaká na biznis",$J1615="Biznis",$J1615="Švédsky biznis"),"ÁNO","")</f>
        <v/>
      </c>
      <c r="N1615" s="2"/>
      <c r="O1615" s="3"/>
      <c r="Q1615"/>
      <c r="R1615" s="3"/>
      <c r="S1615" s="3"/>
      <c r="T1615"/>
      <c r="U1615"/>
      <c r="V1615"/>
      <c r="W1615"/>
      <c r="Z1615"/>
      <c r="AA1615"/>
      <c r="AD1615"/>
    </row>
    <row r="1616" spans="11:30" ht="18" customHeight="1">
      <c r="K1616" t="str">
        <f>IF(OR($I1616="Čaká na integráciu",$J1616="Integrácia"),"ÁNO","")</f>
        <v/>
      </c>
      <c r="L1616" t="str">
        <f>IF(OR($I1616="Čaká na biznis",$J1616="Biznis",$J1616="Švédsky biznis"),"ÁNO","")</f>
        <v/>
      </c>
      <c r="N1616" s="2"/>
      <c r="O1616" s="3"/>
      <c r="Q1616"/>
      <c r="R1616" s="3"/>
      <c r="S1616" s="3"/>
      <c r="T1616"/>
      <c r="U1616"/>
      <c r="V1616"/>
      <c r="W1616"/>
      <c r="Z1616"/>
      <c r="AA1616"/>
      <c r="AD1616"/>
    </row>
    <row r="1617" spans="11:30" ht="18" customHeight="1">
      <c r="K1617" t="str">
        <f>IF(OR($I1617="Čaká na integráciu",$J1617="Integrácia"),"ÁNO","")</f>
        <v/>
      </c>
      <c r="L1617" t="str">
        <f>IF(OR($I1617="Čaká na biznis",$J1617="Biznis",$J1617="Švédsky biznis"),"ÁNO","")</f>
        <v/>
      </c>
      <c r="N1617" s="2"/>
      <c r="O1617" s="3"/>
      <c r="Q1617"/>
      <c r="R1617" s="3"/>
      <c r="S1617" s="3"/>
      <c r="T1617"/>
      <c r="U1617"/>
      <c r="V1617"/>
      <c r="W1617"/>
      <c r="Z1617"/>
      <c r="AA1617"/>
      <c r="AD1617"/>
    </row>
    <row r="1618" spans="11:30" ht="18" customHeight="1">
      <c r="K1618" t="str">
        <f>IF(OR($I1618="Čaká na integráciu",$J1618="Integrácia"),"ÁNO","")</f>
        <v/>
      </c>
      <c r="L1618" t="str">
        <f>IF(OR($I1618="Čaká na biznis",$J1618="Biznis",$J1618="Švédsky biznis"),"ÁNO","")</f>
        <v/>
      </c>
      <c r="N1618" s="2"/>
      <c r="O1618" s="3"/>
      <c r="Q1618"/>
      <c r="R1618" s="3"/>
      <c r="S1618" s="3"/>
      <c r="T1618"/>
      <c r="U1618"/>
      <c r="V1618"/>
      <c r="W1618"/>
      <c r="Z1618"/>
      <c r="AA1618"/>
      <c r="AD1618"/>
    </row>
    <row r="1619" spans="11:30" ht="18" customHeight="1">
      <c r="K1619" t="str">
        <f>IF(OR($I1619="Čaká na integráciu",$J1619="Integrácia"),"ÁNO","")</f>
        <v/>
      </c>
      <c r="L1619" t="str">
        <f>IF(OR($I1619="Čaká na biznis",$J1619="Biznis",$J1619="Švédsky biznis"),"ÁNO","")</f>
        <v/>
      </c>
      <c r="N1619" s="2"/>
      <c r="O1619" s="3"/>
      <c r="Q1619"/>
      <c r="R1619" s="3"/>
      <c r="S1619" s="3"/>
      <c r="T1619"/>
      <c r="U1619"/>
      <c r="V1619"/>
      <c r="W1619"/>
      <c r="Z1619"/>
      <c r="AA1619"/>
      <c r="AD1619"/>
    </row>
    <row r="1620" spans="11:30" ht="18" customHeight="1">
      <c r="K1620" t="str">
        <f>IF(OR($I1620="Čaká na integráciu",$J1620="Integrácia"),"ÁNO","")</f>
        <v/>
      </c>
      <c r="L1620" t="str">
        <f>IF(OR($I1620="Čaká na biznis",$J1620="Biznis",$J1620="Švédsky biznis"),"ÁNO","")</f>
        <v/>
      </c>
      <c r="N1620" s="2"/>
      <c r="O1620" s="3"/>
      <c r="Q1620"/>
      <c r="R1620" s="3"/>
      <c r="S1620" s="3"/>
      <c r="T1620"/>
      <c r="U1620"/>
      <c r="V1620"/>
      <c r="W1620"/>
      <c r="Z1620"/>
      <c r="AA1620"/>
      <c r="AD1620"/>
    </row>
    <row r="1621" spans="11:30" ht="18" customHeight="1">
      <c r="K1621" t="str">
        <f>IF(OR($I1621="Čaká na integráciu",$J1621="Integrácia"),"ÁNO","")</f>
        <v/>
      </c>
      <c r="L1621" t="str">
        <f>IF(OR($I1621="Čaká na biznis",$J1621="Biznis",$J1621="Švédsky biznis"),"ÁNO","")</f>
        <v/>
      </c>
      <c r="N1621" s="2"/>
      <c r="O1621" s="3"/>
      <c r="Q1621"/>
      <c r="R1621" s="3"/>
      <c r="S1621" s="3"/>
      <c r="T1621"/>
      <c r="U1621"/>
      <c r="V1621"/>
      <c r="W1621"/>
      <c r="Z1621"/>
      <c r="AA1621"/>
      <c r="AD1621"/>
    </row>
    <row r="1622" spans="11:30" ht="18" customHeight="1">
      <c r="K1622" t="str">
        <f>IF(OR($I1622="Čaká na integráciu",$J1622="Integrácia"),"ÁNO","")</f>
        <v/>
      </c>
      <c r="L1622" t="str">
        <f>IF(OR($I1622="Čaká na biznis",$J1622="Biznis",$J1622="Švédsky biznis"),"ÁNO","")</f>
        <v/>
      </c>
      <c r="N1622" s="2"/>
      <c r="O1622" s="3"/>
      <c r="Q1622"/>
      <c r="R1622" s="3"/>
      <c r="S1622" s="3"/>
      <c r="T1622"/>
      <c r="U1622"/>
      <c r="V1622"/>
      <c r="W1622"/>
      <c r="Z1622"/>
      <c r="AA1622"/>
      <c r="AD1622"/>
    </row>
    <row r="1623" spans="11:30" ht="18" customHeight="1">
      <c r="K1623" t="str">
        <f>IF(OR($I1623="Čaká na integráciu",$J1623="Integrácia"),"ÁNO","")</f>
        <v/>
      </c>
      <c r="L1623" t="str">
        <f>IF(OR($I1623="Čaká na biznis",$J1623="Biznis",$J1623="Švédsky biznis"),"ÁNO","")</f>
        <v/>
      </c>
      <c r="N1623" s="2"/>
      <c r="O1623" s="3"/>
      <c r="Q1623"/>
      <c r="R1623" s="3"/>
      <c r="S1623" s="3"/>
      <c r="T1623"/>
      <c r="U1623"/>
      <c r="V1623"/>
      <c r="W1623"/>
      <c r="Z1623"/>
      <c r="AA1623"/>
      <c r="AD1623"/>
    </row>
    <row r="1624" spans="11:30" ht="18" customHeight="1">
      <c r="K1624" t="str">
        <f>IF(OR($I1624="Čaká na integráciu",$J1624="Integrácia"),"ÁNO","")</f>
        <v/>
      </c>
      <c r="L1624" t="str">
        <f>IF(OR($I1624="Čaká na biznis",$J1624="Biznis",$J1624="Švédsky biznis"),"ÁNO","")</f>
        <v/>
      </c>
      <c r="N1624" s="2"/>
      <c r="O1624" s="3"/>
      <c r="Q1624"/>
      <c r="R1624" s="3"/>
      <c r="S1624" s="3"/>
      <c r="T1624"/>
      <c r="U1624"/>
      <c r="V1624"/>
      <c r="W1624"/>
      <c r="Z1624"/>
      <c r="AA1624"/>
      <c r="AD1624"/>
    </row>
    <row r="1625" spans="11:30" ht="18" customHeight="1">
      <c r="K1625" t="str">
        <f>IF(OR($I1625="Čaká na integráciu",$J1625="Integrácia"),"ÁNO","")</f>
        <v/>
      </c>
      <c r="L1625" t="str">
        <f>IF(OR($I1625="Čaká na biznis",$J1625="Biznis",$J1625="Švédsky biznis"),"ÁNO","")</f>
        <v/>
      </c>
      <c r="N1625" s="2"/>
      <c r="O1625" s="3"/>
      <c r="Q1625"/>
      <c r="R1625" s="3"/>
      <c r="S1625" s="3"/>
      <c r="T1625"/>
      <c r="U1625"/>
      <c r="V1625"/>
      <c r="W1625"/>
      <c r="Z1625"/>
      <c r="AA1625"/>
      <c r="AD1625"/>
    </row>
    <row r="1626" spans="11:30" ht="18" customHeight="1">
      <c r="K1626" t="str">
        <f>IF(OR($I1626="Čaká na integráciu",$J1626="Integrácia"),"ÁNO","")</f>
        <v/>
      </c>
      <c r="L1626" t="str">
        <f>IF(OR($I1626="Čaká na biznis",$J1626="Biznis",$J1626="Švédsky biznis"),"ÁNO","")</f>
        <v/>
      </c>
      <c r="N1626" s="2"/>
      <c r="O1626" s="3"/>
      <c r="Q1626"/>
      <c r="R1626" s="3"/>
      <c r="S1626" s="3"/>
      <c r="T1626"/>
      <c r="U1626"/>
      <c r="V1626"/>
      <c r="W1626"/>
      <c r="Z1626"/>
      <c r="AA1626"/>
      <c r="AD1626"/>
    </row>
    <row r="1627" spans="11:30" ht="18" customHeight="1">
      <c r="K1627" t="str">
        <f>IF(OR($I1627="Čaká na integráciu",$J1627="Integrácia"),"ÁNO","")</f>
        <v/>
      </c>
      <c r="L1627" t="str">
        <f>IF(OR($I1627="Čaká na biznis",$J1627="Biznis",$J1627="Švédsky biznis"),"ÁNO","")</f>
        <v/>
      </c>
      <c r="N1627" s="2"/>
      <c r="O1627" s="3"/>
      <c r="Q1627"/>
      <c r="R1627" s="3"/>
      <c r="S1627" s="3"/>
      <c r="T1627"/>
      <c r="U1627"/>
      <c r="V1627"/>
      <c r="W1627"/>
      <c r="Z1627"/>
      <c r="AA1627"/>
      <c r="AD1627"/>
    </row>
    <row r="1628" spans="11:30" ht="18" customHeight="1">
      <c r="K1628" t="str">
        <f>IF(OR($I1628="Čaká na integráciu",$J1628="Integrácia"),"ÁNO","")</f>
        <v/>
      </c>
      <c r="L1628" t="str">
        <f>IF(OR($I1628="Čaká na biznis",$J1628="Biznis",$J1628="Švédsky biznis"),"ÁNO","")</f>
        <v/>
      </c>
      <c r="N1628" s="2"/>
      <c r="O1628" s="3"/>
      <c r="Q1628"/>
      <c r="R1628" s="3"/>
      <c r="S1628" s="3"/>
      <c r="T1628"/>
      <c r="U1628"/>
      <c r="V1628"/>
      <c r="W1628"/>
      <c r="Z1628"/>
      <c r="AA1628"/>
      <c r="AD1628"/>
    </row>
    <row r="1629" spans="11:30" ht="18" customHeight="1">
      <c r="K1629" t="str">
        <f>IF(OR($I1629="Čaká na integráciu",$J1629="Integrácia"),"ÁNO","")</f>
        <v/>
      </c>
      <c r="L1629" t="str">
        <f>IF(OR($I1629="Čaká na biznis",$J1629="Biznis",$J1629="Švédsky biznis"),"ÁNO","")</f>
        <v/>
      </c>
      <c r="N1629" s="2"/>
      <c r="O1629" s="3"/>
      <c r="Q1629"/>
      <c r="R1629" s="3"/>
      <c r="S1629" s="3"/>
      <c r="T1629"/>
      <c r="U1629"/>
      <c r="V1629"/>
      <c r="W1629"/>
      <c r="Z1629"/>
      <c r="AA1629"/>
      <c r="AD1629"/>
    </row>
    <row r="1630" spans="11:30" ht="18" customHeight="1">
      <c r="K1630" t="str">
        <f>IF(OR($I1630="Čaká na integráciu",$J1630="Integrácia"),"ÁNO","")</f>
        <v/>
      </c>
      <c r="L1630" t="str">
        <f>IF(OR($I1630="Čaká na biznis",$J1630="Biznis",$J1630="Švédsky biznis"),"ÁNO","")</f>
        <v/>
      </c>
      <c r="N1630" s="2"/>
      <c r="O1630" s="3"/>
      <c r="Q1630"/>
      <c r="R1630" s="3"/>
      <c r="S1630" s="3"/>
      <c r="T1630"/>
      <c r="U1630"/>
      <c r="V1630"/>
      <c r="W1630"/>
      <c r="Z1630"/>
      <c r="AA1630"/>
      <c r="AD1630"/>
    </row>
    <row r="1631" spans="11:30" ht="18" customHeight="1">
      <c r="K1631" t="str">
        <f>IF(OR($I1631="Čaká na integráciu",$J1631="Integrácia"),"ÁNO","")</f>
        <v/>
      </c>
      <c r="L1631" t="str">
        <f>IF(OR($I1631="Čaká na biznis",$J1631="Biznis",$J1631="Švédsky biznis"),"ÁNO","")</f>
        <v/>
      </c>
      <c r="N1631" s="2"/>
      <c r="O1631" s="3"/>
      <c r="Q1631"/>
      <c r="R1631" s="3"/>
      <c r="S1631" s="3"/>
      <c r="T1631"/>
      <c r="U1631"/>
      <c r="V1631"/>
      <c r="W1631"/>
      <c r="Z1631"/>
      <c r="AA1631"/>
      <c r="AD1631"/>
    </row>
    <row r="1632" spans="11:30" ht="18" customHeight="1">
      <c r="K1632" t="str">
        <f>IF(OR($I1632="Čaká na integráciu",$J1632="Integrácia"),"ÁNO","")</f>
        <v/>
      </c>
      <c r="L1632" t="str">
        <f>IF(OR($I1632="Čaká na biznis",$J1632="Biznis",$J1632="Švédsky biznis"),"ÁNO","")</f>
        <v/>
      </c>
      <c r="N1632" s="2"/>
      <c r="O1632" s="3"/>
      <c r="Q1632"/>
      <c r="R1632" s="3"/>
      <c r="S1632" s="3"/>
      <c r="T1632"/>
      <c r="U1632"/>
      <c r="V1632"/>
      <c r="W1632"/>
      <c r="Z1632"/>
      <c r="AA1632"/>
      <c r="AD1632"/>
    </row>
    <row r="1633" spans="11:30" ht="18" customHeight="1">
      <c r="K1633" t="str">
        <f>IF(OR($I1633="Čaká na integráciu",$J1633="Integrácia"),"ÁNO","")</f>
        <v/>
      </c>
      <c r="L1633" t="str">
        <f>IF(OR($I1633="Čaká na biznis",$J1633="Biznis",$J1633="Švédsky biznis"),"ÁNO","")</f>
        <v/>
      </c>
      <c r="N1633" s="2"/>
      <c r="O1633" s="3"/>
      <c r="Q1633"/>
      <c r="R1633" s="3"/>
      <c r="S1633" s="3"/>
      <c r="T1633"/>
      <c r="U1633"/>
      <c r="V1633"/>
      <c r="W1633"/>
      <c r="Z1633"/>
      <c r="AA1633"/>
      <c r="AD1633"/>
    </row>
    <row r="1634" spans="11:30" ht="18" customHeight="1">
      <c r="K1634" t="str">
        <f>IF(OR($I1634="Čaká na integráciu",$J1634="Integrácia"),"ÁNO","")</f>
        <v/>
      </c>
      <c r="L1634" t="str">
        <f>IF(OR($I1634="Čaká na biznis",$J1634="Biznis",$J1634="Švédsky biznis"),"ÁNO","")</f>
        <v/>
      </c>
      <c r="N1634" s="2"/>
      <c r="O1634" s="3"/>
      <c r="Q1634"/>
      <c r="R1634" s="3"/>
      <c r="S1634" s="3"/>
      <c r="T1634"/>
      <c r="U1634"/>
      <c r="V1634"/>
      <c r="W1634"/>
      <c r="Z1634"/>
      <c r="AA1634"/>
      <c r="AD1634"/>
    </row>
    <row r="1635" spans="11:30" ht="18" customHeight="1">
      <c r="K1635" t="str">
        <f>IF(OR($I1635="Čaká na integráciu",$J1635="Integrácia"),"ÁNO","")</f>
        <v/>
      </c>
      <c r="L1635" t="str">
        <f>IF(OR($I1635="Čaká na biznis",$J1635="Biznis",$J1635="Švédsky biznis"),"ÁNO","")</f>
        <v/>
      </c>
      <c r="N1635" s="2"/>
      <c r="O1635" s="3"/>
      <c r="Q1635"/>
      <c r="R1635" s="3"/>
      <c r="S1635" s="3"/>
      <c r="T1635"/>
      <c r="U1635"/>
      <c r="V1635"/>
      <c r="W1635"/>
      <c r="Z1635"/>
      <c r="AA1635"/>
      <c r="AD1635"/>
    </row>
    <row r="1636" spans="11:30" ht="18" customHeight="1">
      <c r="K1636" t="str">
        <f>IF(OR($I1636="Čaká na integráciu",$J1636="Integrácia"),"ÁNO","")</f>
        <v/>
      </c>
      <c r="L1636" t="str">
        <f>IF(OR($I1636="Čaká na biznis",$J1636="Biznis",$J1636="Švédsky biznis"),"ÁNO","")</f>
        <v/>
      </c>
      <c r="N1636" s="2"/>
      <c r="O1636" s="3"/>
      <c r="Q1636"/>
      <c r="R1636" s="3"/>
      <c r="S1636" s="3"/>
      <c r="T1636"/>
      <c r="U1636"/>
      <c r="V1636"/>
      <c r="W1636"/>
      <c r="Z1636"/>
      <c r="AA1636"/>
      <c r="AD1636"/>
    </row>
    <row r="1637" spans="11:30" ht="18" customHeight="1">
      <c r="K1637" t="str">
        <f>IF(OR($I1637="Čaká na integráciu",$J1637="Integrácia"),"ÁNO","")</f>
        <v/>
      </c>
      <c r="L1637" t="str">
        <f>IF(OR($I1637="Čaká na biznis",$J1637="Biznis",$J1637="Švédsky biznis"),"ÁNO","")</f>
        <v/>
      </c>
      <c r="N1637" s="2"/>
      <c r="O1637" s="3"/>
      <c r="Q1637"/>
      <c r="R1637" s="3"/>
      <c r="S1637" s="3"/>
      <c r="T1637"/>
      <c r="U1637"/>
      <c r="V1637"/>
      <c r="W1637"/>
      <c r="Z1637"/>
      <c r="AA1637"/>
      <c r="AD1637"/>
    </row>
    <row r="1638" spans="11:30" ht="18" customHeight="1">
      <c r="K1638" t="str">
        <f>IF(OR($I1638="Čaká na integráciu",$J1638="Integrácia"),"ÁNO","")</f>
        <v/>
      </c>
      <c r="L1638" t="str">
        <f>IF(OR($I1638="Čaká na biznis",$J1638="Biznis",$J1638="Švédsky biznis"),"ÁNO","")</f>
        <v/>
      </c>
      <c r="N1638" s="2"/>
      <c r="O1638" s="3"/>
      <c r="Q1638"/>
      <c r="R1638" s="3"/>
      <c r="S1638" s="3"/>
      <c r="T1638"/>
      <c r="U1638"/>
      <c r="V1638"/>
      <c r="W1638"/>
      <c r="Z1638"/>
      <c r="AA1638"/>
      <c r="AD1638"/>
    </row>
    <row r="1639" spans="11:30" ht="18" customHeight="1">
      <c r="K1639" t="str">
        <f>IF(OR($I1639="Čaká na integráciu",$J1639="Integrácia"),"ÁNO","")</f>
        <v/>
      </c>
      <c r="L1639" t="str">
        <f>IF(OR($I1639="Čaká na biznis",$J1639="Biznis",$J1639="Švédsky biznis"),"ÁNO","")</f>
        <v/>
      </c>
      <c r="N1639" s="2"/>
      <c r="O1639" s="3"/>
      <c r="Q1639"/>
      <c r="R1639" s="3"/>
      <c r="S1639" s="3"/>
      <c r="T1639"/>
      <c r="U1639"/>
      <c r="V1639"/>
      <c r="W1639"/>
      <c r="Z1639"/>
      <c r="AA1639"/>
      <c r="AD1639"/>
    </row>
    <row r="1640" spans="11:30" ht="18" customHeight="1">
      <c r="K1640" t="str">
        <f>IF(OR($I1640="Čaká na integráciu",$J1640="Integrácia"),"ÁNO","")</f>
        <v/>
      </c>
      <c r="L1640" t="str">
        <f>IF(OR($I1640="Čaká na biznis",$J1640="Biznis",$J1640="Švédsky biznis"),"ÁNO","")</f>
        <v/>
      </c>
      <c r="N1640" s="2"/>
      <c r="O1640" s="3"/>
      <c r="Q1640"/>
      <c r="R1640" s="3"/>
      <c r="S1640" s="3"/>
      <c r="T1640"/>
      <c r="U1640"/>
      <c r="V1640"/>
      <c r="W1640"/>
      <c r="Z1640"/>
      <c r="AA1640"/>
      <c r="AD1640"/>
    </row>
    <row r="1641" spans="11:30" ht="18" customHeight="1">
      <c r="K1641" t="str">
        <f>IF(OR($I1641="Čaká na integráciu",$J1641="Integrácia"),"ÁNO","")</f>
        <v/>
      </c>
      <c r="L1641" t="str">
        <f>IF(OR($I1641="Čaká na biznis",$J1641="Biznis",$J1641="Švédsky biznis"),"ÁNO","")</f>
        <v/>
      </c>
      <c r="N1641" s="2"/>
      <c r="O1641" s="3"/>
      <c r="Q1641"/>
      <c r="R1641" s="3"/>
      <c r="S1641" s="3"/>
      <c r="T1641"/>
      <c r="U1641"/>
      <c r="V1641"/>
      <c r="W1641"/>
      <c r="Z1641"/>
      <c r="AA1641"/>
      <c r="AD1641"/>
    </row>
    <row r="1642" spans="11:30" ht="18" customHeight="1">
      <c r="K1642" t="str">
        <f>IF(OR($I1642="Čaká na integráciu",$J1642="Integrácia"),"ÁNO","")</f>
        <v/>
      </c>
      <c r="L1642" t="str">
        <f>IF(OR($I1642="Čaká na biznis",$J1642="Biznis",$J1642="Švédsky biznis"),"ÁNO","")</f>
        <v/>
      </c>
      <c r="N1642" s="2"/>
      <c r="O1642" s="3"/>
      <c r="Q1642"/>
      <c r="R1642" s="3"/>
      <c r="S1642" s="3"/>
      <c r="T1642"/>
      <c r="U1642"/>
      <c r="V1642"/>
      <c r="W1642"/>
      <c r="Z1642"/>
      <c r="AA1642"/>
      <c r="AD1642"/>
    </row>
    <row r="1643" spans="11:30" ht="18" customHeight="1">
      <c r="K1643" t="str">
        <f>IF(OR($I1643="Čaká na integráciu",$J1643="Integrácia"),"ÁNO","")</f>
        <v/>
      </c>
      <c r="L1643" t="str">
        <f>IF(OR($I1643="Čaká na biznis",$J1643="Biznis",$J1643="Švédsky biznis"),"ÁNO","")</f>
        <v/>
      </c>
      <c r="N1643" s="2"/>
      <c r="O1643" s="3"/>
      <c r="Q1643"/>
      <c r="R1643" s="3"/>
      <c r="S1643" s="3"/>
      <c r="T1643"/>
      <c r="U1643"/>
      <c r="V1643"/>
      <c r="W1643"/>
      <c r="Z1643"/>
      <c r="AA1643"/>
      <c r="AD1643"/>
    </row>
    <row r="1644" spans="11:30" ht="18" customHeight="1">
      <c r="K1644" t="str">
        <f>IF(OR($I1644="Čaká na integráciu",$J1644="Integrácia"),"ÁNO","")</f>
        <v/>
      </c>
      <c r="L1644" t="str">
        <f>IF(OR($I1644="Čaká na biznis",$J1644="Biznis",$J1644="Švédsky biznis"),"ÁNO","")</f>
        <v/>
      </c>
      <c r="N1644" s="2"/>
      <c r="O1644" s="3"/>
      <c r="Q1644"/>
      <c r="R1644" s="3"/>
      <c r="S1644" s="3"/>
      <c r="T1644"/>
      <c r="U1644"/>
      <c r="V1644"/>
      <c r="W1644"/>
      <c r="Z1644"/>
      <c r="AA1644"/>
      <c r="AD1644"/>
    </row>
    <row r="1645" spans="11:30" ht="18" customHeight="1">
      <c r="K1645" t="str">
        <f>IF(OR($I1645="Čaká na integráciu",$J1645="Integrácia"),"ÁNO","")</f>
        <v/>
      </c>
      <c r="L1645" t="str">
        <f>IF(OR($I1645="Čaká na biznis",$J1645="Biznis",$J1645="Švédsky biznis"),"ÁNO","")</f>
        <v/>
      </c>
      <c r="N1645" s="2"/>
      <c r="O1645" s="3"/>
      <c r="Q1645"/>
      <c r="R1645" s="3"/>
      <c r="S1645" s="3"/>
      <c r="T1645"/>
      <c r="U1645"/>
      <c r="V1645"/>
      <c r="W1645"/>
      <c r="Z1645"/>
      <c r="AA1645"/>
      <c r="AD1645"/>
    </row>
    <row r="1646" spans="11:30" ht="18" customHeight="1">
      <c r="K1646" t="str">
        <f>IF(OR($I1646="Čaká na integráciu",$J1646="Integrácia"),"ÁNO","")</f>
        <v/>
      </c>
      <c r="L1646" t="str">
        <f>IF(OR($I1646="Čaká na biznis",$J1646="Biznis",$J1646="Švédsky biznis"),"ÁNO","")</f>
        <v/>
      </c>
      <c r="N1646" s="2"/>
      <c r="O1646" s="3"/>
      <c r="Q1646"/>
      <c r="R1646" s="3"/>
      <c r="S1646" s="3"/>
      <c r="T1646"/>
      <c r="U1646"/>
      <c r="V1646"/>
      <c r="W1646"/>
      <c r="Z1646"/>
      <c r="AA1646"/>
      <c r="AD1646"/>
    </row>
    <row r="1647" spans="11:30" ht="18" customHeight="1">
      <c r="K1647" t="str">
        <f>IF(OR($I1647="Čaká na integráciu",$J1647="Integrácia"),"ÁNO","")</f>
        <v/>
      </c>
      <c r="L1647" t="str">
        <f>IF(OR($I1647="Čaká na biznis",$J1647="Biznis",$J1647="Švédsky biznis"),"ÁNO","")</f>
        <v/>
      </c>
      <c r="N1647" s="2"/>
      <c r="O1647" s="3"/>
      <c r="Q1647"/>
      <c r="R1647" s="3"/>
      <c r="S1647" s="3"/>
      <c r="T1647"/>
      <c r="U1647"/>
      <c r="V1647"/>
      <c r="W1647"/>
      <c r="Z1647"/>
      <c r="AA1647"/>
      <c r="AD1647"/>
    </row>
    <row r="1648" spans="11:30" ht="18" customHeight="1">
      <c r="K1648" t="str">
        <f>IF(OR($I1648="Čaká na integráciu",$J1648="Integrácia"),"ÁNO","")</f>
        <v/>
      </c>
      <c r="L1648" t="str">
        <f>IF(OR($I1648="Čaká na biznis",$J1648="Biznis",$J1648="Švédsky biznis"),"ÁNO","")</f>
        <v/>
      </c>
      <c r="N1648" s="2"/>
      <c r="O1648" s="3"/>
      <c r="Q1648"/>
      <c r="R1648" s="3"/>
      <c r="S1648" s="3"/>
      <c r="T1648"/>
      <c r="U1648"/>
      <c r="V1648"/>
      <c r="W1648"/>
      <c r="Z1648"/>
      <c r="AA1648"/>
      <c r="AD1648"/>
    </row>
    <row r="1649" spans="11:30" ht="18" customHeight="1">
      <c r="K1649" t="str">
        <f>IF(OR($I1649="Čaká na integráciu",$J1649="Integrácia"),"ÁNO","")</f>
        <v/>
      </c>
      <c r="L1649" t="str">
        <f>IF(OR($I1649="Čaká na biznis",$J1649="Biznis",$J1649="Švédsky biznis"),"ÁNO","")</f>
        <v/>
      </c>
      <c r="N1649" s="2"/>
      <c r="O1649" s="3"/>
      <c r="Q1649"/>
      <c r="R1649" s="3"/>
      <c r="S1649" s="3"/>
      <c r="T1649"/>
      <c r="U1649"/>
      <c r="V1649"/>
      <c r="W1649"/>
      <c r="Z1649"/>
      <c r="AA1649"/>
      <c r="AD1649"/>
    </row>
    <row r="1650" spans="11:30" ht="18" customHeight="1">
      <c r="K1650" t="str">
        <f>IF(OR($I1650="Čaká na integráciu",$J1650="Integrácia"),"ÁNO","")</f>
        <v/>
      </c>
      <c r="L1650" t="str">
        <f>IF(OR($I1650="Čaká na biznis",$J1650="Biznis",$J1650="Švédsky biznis"),"ÁNO","")</f>
        <v/>
      </c>
      <c r="N1650" s="2"/>
      <c r="O1650" s="3"/>
      <c r="Q1650"/>
      <c r="R1650" s="3"/>
      <c r="S1650" s="3"/>
      <c r="T1650"/>
      <c r="U1650"/>
      <c r="V1650"/>
      <c r="W1650"/>
      <c r="Z1650"/>
      <c r="AA1650"/>
      <c r="AD1650"/>
    </row>
    <row r="1651" spans="11:30" ht="18" customHeight="1">
      <c r="K1651" t="str">
        <f>IF(OR($I1651="Čaká na integráciu",$J1651="Integrácia"),"ÁNO","")</f>
        <v/>
      </c>
      <c r="L1651" t="str">
        <f>IF(OR($I1651="Čaká na biznis",$J1651="Biznis",$J1651="Švédsky biznis"),"ÁNO","")</f>
        <v/>
      </c>
      <c r="N1651" s="2"/>
      <c r="O1651" s="3"/>
      <c r="Q1651"/>
      <c r="R1651" s="3"/>
      <c r="S1651" s="3"/>
      <c r="T1651"/>
      <c r="U1651"/>
      <c r="V1651"/>
      <c r="W1651"/>
      <c r="Z1651"/>
      <c r="AA1651"/>
      <c r="AD1651"/>
    </row>
    <row r="1652" spans="11:30" ht="18" customHeight="1">
      <c r="K1652" t="str">
        <f>IF(OR($I1652="Čaká na integráciu",$J1652="Integrácia"),"ÁNO","")</f>
        <v/>
      </c>
      <c r="L1652" t="str">
        <f>IF(OR($I1652="Čaká na biznis",$J1652="Biznis",$J1652="Švédsky biznis"),"ÁNO","")</f>
        <v/>
      </c>
      <c r="N1652" s="2"/>
      <c r="O1652" s="3"/>
      <c r="Q1652"/>
      <c r="R1652" s="3"/>
      <c r="S1652" s="3"/>
      <c r="T1652"/>
      <c r="U1652"/>
      <c r="V1652"/>
      <c r="W1652"/>
      <c r="Z1652"/>
      <c r="AA1652"/>
      <c r="AD1652"/>
    </row>
    <row r="1653" spans="11:30" ht="18" customHeight="1">
      <c r="K1653" t="str">
        <f>IF(OR($I1653="Čaká na integráciu",$J1653="Integrácia"),"ÁNO","")</f>
        <v/>
      </c>
      <c r="L1653" t="str">
        <f>IF(OR($I1653="Čaká na biznis",$J1653="Biznis",$J1653="Švédsky biznis"),"ÁNO","")</f>
        <v/>
      </c>
      <c r="N1653" s="2"/>
      <c r="O1653" s="3"/>
      <c r="Q1653"/>
      <c r="R1653" s="3"/>
      <c r="S1653" s="3"/>
      <c r="T1653"/>
      <c r="U1653"/>
      <c r="V1653"/>
      <c r="W1653"/>
      <c r="Z1653"/>
      <c r="AA1653"/>
      <c r="AD1653"/>
    </row>
    <row r="1654" spans="11:30" ht="18" customHeight="1">
      <c r="K1654" t="str">
        <f>IF(OR($I1654="Čaká na integráciu",$J1654="Integrácia"),"ÁNO","")</f>
        <v/>
      </c>
      <c r="L1654" t="str">
        <f>IF(OR($I1654="Čaká na biznis",$J1654="Biznis",$J1654="Švédsky biznis"),"ÁNO","")</f>
        <v/>
      </c>
      <c r="N1654" s="2"/>
      <c r="O1654" s="3"/>
      <c r="Q1654"/>
      <c r="R1654" s="3"/>
      <c r="S1654" s="3"/>
      <c r="T1654"/>
      <c r="U1654"/>
      <c r="V1654"/>
      <c r="W1654"/>
      <c r="Z1654"/>
      <c r="AA1654"/>
      <c r="AD1654"/>
    </row>
    <row r="1655" spans="11:30" ht="18" customHeight="1">
      <c r="K1655" t="str">
        <f>IF(OR($I1655="Čaká na integráciu",$J1655="Integrácia"),"ÁNO","")</f>
        <v/>
      </c>
      <c r="L1655" t="str">
        <f>IF(OR($I1655="Čaká na biznis",$J1655="Biznis",$J1655="Švédsky biznis"),"ÁNO","")</f>
        <v/>
      </c>
      <c r="N1655" s="2"/>
      <c r="O1655" s="3"/>
      <c r="Q1655"/>
      <c r="R1655" s="3"/>
      <c r="S1655" s="3"/>
      <c r="T1655"/>
      <c r="U1655"/>
      <c r="V1655"/>
      <c r="W1655"/>
      <c r="Z1655"/>
      <c r="AA1655"/>
      <c r="AD1655"/>
    </row>
    <row r="1656" spans="11:30" ht="18" customHeight="1">
      <c r="K1656" t="str">
        <f>IF(OR($I1656="Čaká na integráciu",$J1656="Integrácia"),"ÁNO","")</f>
        <v/>
      </c>
      <c r="L1656" t="str">
        <f>IF(OR($I1656="Čaká na biznis",$J1656="Biznis",$J1656="Švédsky biznis"),"ÁNO","")</f>
        <v/>
      </c>
      <c r="N1656" s="2"/>
      <c r="O1656" s="3"/>
      <c r="Q1656"/>
      <c r="R1656" s="3"/>
      <c r="S1656" s="3"/>
      <c r="T1656"/>
      <c r="U1656"/>
      <c r="V1656"/>
      <c r="W1656"/>
      <c r="Z1656"/>
      <c r="AA1656"/>
      <c r="AD1656"/>
    </row>
    <row r="1657" spans="11:30" ht="18" customHeight="1">
      <c r="K1657" t="str">
        <f>IF(OR($I1657="Čaká na integráciu",$J1657="Integrácia"),"ÁNO","")</f>
        <v/>
      </c>
      <c r="L1657" t="str">
        <f>IF(OR($I1657="Čaká na biznis",$J1657="Biznis",$J1657="Švédsky biznis"),"ÁNO","")</f>
        <v/>
      </c>
      <c r="N1657" s="2"/>
      <c r="O1657" s="3"/>
      <c r="Q1657"/>
      <c r="R1657" s="3"/>
      <c r="S1657" s="3"/>
      <c r="T1657"/>
      <c r="U1657"/>
      <c r="V1657"/>
      <c r="W1657"/>
      <c r="Z1657"/>
      <c r="AA1657"/>
      <c r="AD1657"/>
    </row>
    <row r="1658" spans="11:30" ht="18" customHeight="1">
      <c r="K1658" t="str">
        <f>IF(OR($I1658="Čaká na integráciu",$J1658="Integrácia"),"ÁNO","")</f>
        <v/>
      </c>
      <c r="L1658" t="str">
        <f>IF(OR($I1658="Čaká na biznis",$J1658="Biznis",$J1658="Švédsky biznis"),"ÁNO","")</f>
        <v/>
      </c>
      <c r="N1658" s="2"/>
      <c r="O1658" s="3"/>
      <c r="Q1658"/>
      <c r="R1658" s="3"/>
      <c r="S1658" s="3"/>
      <c r="T1658"/>
      <c r="U1658"/>
      <c r="V1658"/>
      <c r="W1658"/>
      <c r="Z1658"/>
      <c r="AA1658"/>
      <c r="AD1658"/>
    </row>
    <row r="1659" spans="11:30" ht="18" customHeight="1">
      <c r="K1659" t="str">
        <f>IF(OR($I1659="Čaká na integráciu",$J1659="Integrácia"),"ÁNO","")</f>
        <v/>
      </c>
      <c r="L1659" t="str">
        <f>IF(OR($I1659="Čaká na biznis",$J1659="Biznis",$J1659="Švédsky biznis"),"ÁNO","")</f>
        <v/>
      </c>
      <c r="N1659" s="2"/>
      <c r="O1659" s="3"/>
      <c r="Q1659"/>
      <c r="R1659" s="3"/>
      <c r="S1659" s="3"/>
      <c r="T1659"/>
      <c r="U1659"/>
      <c r="V1659"/>
      <c r="W1659"/>
      <c r="Z1659"/>
      <c r="AA1659"/>
      <c r="AD1659"/>
    </row>
    <row r="1660" spans="11:30" ht="18" customHeight="1">
      <c r="K1660" t="str">
        <f>IF(OR($I1660="Čaká na integráciu",$J1660="Integrácia"),"ÁNO","")</f>
        <v/>
      </c>
      <c r="L1660" t="str">
        <f>IF(OR($I1660="Čaká na biznis",$J1660="Biznis",$J1660="Švédsky biznis"),"ÁNO","")</f>
        <v/>
      </c>
      <c r="N1660" s="2"/>
      <c r="O1660" s="3"/>
      <c r="Q1660"/>
      <c r="R1660" s="3"/>
      <c r="S1660" s="3"/>
      <c r="T1660"/>
      <c r="U1660"/>
      <c r="V1660"/>
      <c r="W1660"/>
      <c r="Z1660"/>
      <c r="AA1660"/>
      <c r="AD1660"/>
    </row>
    <row r="1661" spans="11:30" ht="18" customHeight="1">
      <c r="K1661" t="str">
        <f>IF(OR($I1661="Čaká na integráciu",$J1661="Integrácia"),"ÁNO","")</f>
        <v/>
      </c>
      <c r="L1661" t="str">
        <f>IF(OR($I1661="Čaká na biznis",$J1661="Biznis",$J1661="Švédsky biznis"),"ÁNO","")</f>
        <v/>
      </c>
      <c r="N1661" s="2"/>
      <c r="O1661" s="3"/>
      <c r="Q1661"/>
      <c r="R1661" s="3"/>
      <c r="S1661" s="3"/>
      <c r="T1661"/>
      <c r="U1661"/>
      <c r="V1661"/>
      <c r="W1661"/>
      <c r="Z1661"/>
      <c r="AA1661"/>
      <c r="AD1661"/>
    </row>
    <row r="1662" spans="11:30" ht="18" customHeight="1">
      <c r="K1662" t="str">
        <f>IF(OR($I1662="Čaká na integráciu",$J1662="Integrácia"),"ÁNO","")</f>
        <v/>
      </c>
      <c r="L1662" t="str">
        <f>IF(OR($I1662="Čaká na biznis",$J1662="Biznis",$J1662="Švédsky biznis"),"ÁNO","")</f>
        <v/>
      </c>
      <c r="N1662" s="2"/>
      <c r="O1662" s="3"/>
      <c r="Q1662"/>
      <c r="R1662" s="3"/>
      <c r="S1662" s="3"/>
      <c r="T1662"/>
      <c r="U1662"/>
      <c r="V1662"/>
      <c r="W1662"/>
      <c r="Z1662"/>
      <c r="AA1662"/>
      <c r="AD1662"/>
    </row>
    <row r="1663" spans="11:30" ht="18" customHeight="1">
      <c r="K1663" t="str">
        <f>IF(OR($I1663="Čaká na integráciu",$J1663="Integrácia"),"ÁNO","")</f>
        <v/>
      </c>
      <c r="L1663" t="str">
        <f>IF(OR($I1663="Čaká na biznis",$J1663="Biznis",$J1663="Švédsky biznis"),"ÁNO","")</f>
        <v/>
      </c>
      <c r="N1663" s="2"/>
      <c r="O1663" s="3"/>
      <c r="Q1663"/>
      <c r="R1663" s="3"/>
      <c r="S1663" s="3"/>
      <c r="T1663"/>
      <c r="U1663"/>
      <c r="V1663"/>
      <c r="W1663"/>
      <c r="Z1663"/>
      <c r="AA1663"/>
      <c r="AD1663"/>
    </row>
    <row r="1664" spans="11:30" ht="18" customHeight="1">
      <c r="K1664" t="str">
        <f>IF(OR($I1664="Čaká na integráciu",$J1664="Integrácia"),"ÁNO","")</f>
        <v/>
      </c>
      <c r="L1664" t="str">
        <f>IF(OR($I1664="Čaká na biznis",$J1664="Biznis",$J1664="Švédsky biznis"),"ÁNO","")</f>
        <v/>
      </c>
      <c r="N1664" s="2"/>
      <c r="O1664" s="3"/>
      <c r="Q1664"/>
      <c r="R1664" s="3"/>
      <c r="S1664" s="3"/>
      <c r="T1664"/>
      <c r="U1664"/>
      <c r="V1664"/>
      <c r="W1664"/>
      <c r="Z1664"/>
      <c r="AA1664"/>
      <c r="AD1664"/>
    </row>
    <row r="1665" spans="11:30" ht="18" customHeight="1">
      <c r="K1665" t="str">
        <f>IF(OR($I1665="Čaká na integráciu",$J1665="Integrácia"),"ÁNO","")</f>
        <v/>
      </c>
      <c r="L1665" t="str">
        <f>IF(OR($I1665="Čaká na biznis",$J1665="Biznis",$J1665="Švédsky biznis"),"ÁNO","")</f>
        <v/>
      </c>
      <c r="N1665" s="2"/>
      <c r="O1665" s="3"/>
      <c r="Q1665"/>
      <c r="R1665" s="3"/>
      <c r="S1665" s="3"/>
      <c r="T1665"/>
      <c r="U1665"/>
      <c r="V1665"/>
      <c r="W1665"/>
      <c r="Z1665"/>
      <c r="AA1665"/>
      <c r="AD1665"/>
    </row>
    <row r="1666" spans="11:30" ht="18" customHeight="1">
      <c r="K1666" t="str">
        <f>IF(OR($I1666="Čaká na integráciu",$J1666="Integrácia"),"ÁNO","")</f>
        <v/>
      </c>
      <c r="L1666" t="str">
        <f>IF(OR($I1666="Čaká na biznis",$J1666="Biznis",$J1666="Švédsky biznis"),"ÁNO","")</f>
        <v/>
      </c>
      <c r="N1666" s="2"/>
      <c r="O1666" s="3"/>
      <c r="Q1666"/>
      <c r="R1666" s="3"/>
      <c r="S1666" s="3"/>
      <c r="T1666"/>
      <c r="U1666"/>
      <c r="V1666"/>
      <c r="W1666"/>
      <c r="Z1666"/>
      <c r="AA1666"/>
      <c r="AD1666"/>
    </row>
    <row r="1667" spans="11:30" ht="18" customHeight="1">
      <c r="K1667" t="str">
        <f>IF(OR($I1667="Čaká na integráciu",$J1667="Integrácia"),"ÁNO","")</f>
        <v/>
      </c>
      <c r="L1667" t="str">
        <f>IF(OR($I1667="Čaká na biznis",$J1667="Biznis",$J1667="Švédsky biznis"),"ÁNO","")</f>
        <v/>
      </c>
      <c r="N1667" s="2"/>
      <c r="O1667" s="3"/>
      <c r="Q1667"/>
      <c r="R1667" s="3"/>
      <c r="S1667" s="3"/>
      <c r="T1667"/>
      <c r="U1667"/>
      <c r="V1667"/>
      <c r="W1667"/>
      <c r="Z1667"/>
      <c r="AA1667"/>
      <c r="AD1667"/>
    </row>
    <row r="1668" spans="11:30" ht="18" customHeight="1">
      <c r="K1668" t="str">
        <f>IF(OR($I1668="Čaká na integráciu",$J1668="Integrácia"),"ÁNO","")</f>
        <v/>
      </c>
      <c r="L1668" t="str">
        <f>IF(OR($I1668="Čaká na biznis",$J1668="Biznis",$J1668="Švédsky biznis"),"ÁNO","")</f>
        <v/>
      </c>
      <c r="N1668" s="2"/>
      <c r="O1668" s="3"/>
      <c r="Q1668"/>
      <c r="R1668" s="3"/>
      <c r="S1668" s="3"/>
      <c r="T1668"/>
      <c r="U1668"/>
      <c r="V1668"/>
      <c r="W1668"/>
      <c r="Z1668"/>
      <c r="AA1668"/>
      <c r="AD1668"/>
    </row>
    <row r="1669" spans="11:30" ht="18" customHeight="1">
      <c r="K1669" t="str">
        <f>IF(OR($I1669="Čaká na integráciu",$J1669="Integrácia"),"ÁNO","")</f>
        <v/>
      </c>
      <c r="L1669" t="str">
        <f>IF(OR($I1669="Čaká na biznis",$J1669="Biznis",$J1669="Švédsky biznis"),"ÁNO","")</f>
        <v/>
      </c>
      <c r="N1669" s="2"/>
      <c r="O1669" s="3"/>
      <c r="Q1669"/>
      <c r="R1669" s="3"/>
      <c r="S1669" s="3"/>
      <c r="T1669"/>
      <c r="U1669"/>
      <c r="V1669"/>
      <c r="W1669"/>
      <c r="Z1669"/>
      <c r="AA1669"/>
      <c r="AD1669"/>
    </row>
    <row r="1670" spans="11:30" ht="18" customHeight="1">
      <c r="K1670" t="str">
        <f>IF(OR($I1670="Čaká na integráciu",$J1670="Integrácia"),"ÁNO","")</f>
        <v/>
      </c>
      <c r="L1670" t="str">
        <f>IF(OR($I1670="Čaká na biznis",$J1670="Biznis",$J1670="Švédsky biznis"),"ÁNO","")</f>
        <v/>
      </c>
      <c r="N1670" s="2"/>
      <c r="O1670" s="3"/>
      <c r="Q1670"/>
      <c r="R1670" s="3"/>
      <c r="S1670" s="3"/>
      <c r="T1670"/>
      <c r="U1670"/>
      <c r="V1670"/>
      <c r="W1670"/>
      <c r="Z1670"/>
      <c r="AA1670"/>
      <c r="AD1670"/>
    </row>
    <row r="1671" spans="11:30" ht="18" customHeight="1">
      <c r="K1671" t="str">
        <f>IF(OR($I1671="Čaká na integráciu",$J1671="Integrácia"),"ÁNO","")</f>
        <v/>
      </c>
      <c r="L1671" t="str">
        <f>IF(OR($I1671="Čaká na biznis",$J1671="Biznis",$J1671="Švédsky biznis"),"ÁNO","")</f>
        <v/>
      </c>
      <c r="N1671" s="2"/>
      <c r="O1671" s="3"/>
      <c r="Q1671"/>
      <c r="R1671" s="3"/>
      <c r="S1671" s="3"/>
      <c r="T1671"/>
      <c r="U1671"/>
      <c r="V1671"/>
      <c r="W1671"/>
      <c r="Z1671"/>
      <c r="AA1671"/>
      <c r="AD1671"/>
    </row>
    <row r="1672" spans="11:30" ht="18" customHeight="1">
      <c r="K1672" t="str">
        <f>IF(OR($I1672="Čaká na integráciu",$J1672="Integrácia"),"ÁNO","")</f>
        <v/>
      </c>
      <c r="L1672" t="str">
        <f>IF(OR($I1672="Čaká na biznis",$J1672="Biznis",$J1672="Švédsky biznis"),"ÁNO","")</f>
        <v/>
      </c>
      <c r="N1672" s="2"/>
      <c r="O1672" s="3"/>
      <c r="Q1672"/>
      <c r="R1672" s="3"/>
      <c r="S1672" s="3"/>
      <c r="T1672"/>
      <c r="U1672"/>
      <c r="V1672"/>
      <c r="W1672"/>
      <c r="Z1672"/>
      <c r="AA1672"/>
      <c r="AD1672"/>
    </row>
    <row r="1673" spans="11:30" ht="18" customHeight="1">
      <c r="K1673" t="str">
        <f>IF(OR($I1673="Čaká na integráciu",$J1673="Integrácia"),"ÁNO","")</f>
        <v/>
      </c>
      <c r="L1673" t="str">
        <f>IF(OR($I1673="Čaká na biznis",$J1673="Biznis",$J1673="Švédsky biznis"),"ÁNO","")</f>
        <v/>
      </c>
      <c r="N1673" s="2"/>
      <c r="O1673" s="3"/>
      <c r="Q1673"/>
      <c r="R1673" s="3"/>
      <c r="S1673" s="3"/>
      <c r="T1673"/>
      <c r="U1673"/>
      <c r="V1673"/>
      <c r="W1673"/>
      <c r="Z1673"/>
      <c r="AA1673"/>
      <c r="AD1673"/>
    </row>
    <row r="1674" spans="11:30" ht="18" customHeight="1">
      <c r="K1674" t="str">
        <f>IF(OR($I1674="Čaká na integráciu",$J1674="Integrácia"),"ÁNO","")</f>
        <v/>
      </c>
      <c r="L1674" t="str">
        <f>IF(OR($I1674="Čaká na biznis",$J1674="Biznis",$J1674="Švédsky biznis"),"ÁNO","")</f>
        <v/>
      </c>
      <c r="N1674" s="2"/>
      <c r="O1674" s="3"/>
      <c r="Q1674"/>
      <c r="R1674" s="3"/>
      <c r="S1674" s="3"/>
      <c r="T1674"/>
      <c r="U1674"/>
      <c r="V1674"/>
      <c r="W1674"/>
      <c r="Z1674"/>
      <c r="AA1674"/>
      <c r="AD1674"/>
    </row>
    <row r="1675" spans="11:30" ht="18" customHeight="1">
      <c r="K1675" t="str">
        <f>IF(OR($I1675="Čaká na integráciu",$J1675="Integrácia"),"ÁNO","")</f>
        <v/>
      </c>
      <c r="L1675" t="str">
        <f>IF(OR($I1675="Čaká na biznis",$J1675="Biznis",$J1675="Švédsky biznis"),"ÁNO","")</f>
        <v/>
      </c>
      <c r="N1675" s="2"/>
      <c r="O1675" s="3"/>
      <c r="Q1675"/>
      <c r="R1675" s="3"/>
      <c r="S1675" s="3"/>
      <c r="T1675"/>
      <c r="U1675"/>
      <c r="V1675"/>
      <c r="W1675"/>
      <c r="Z1675"/>
      <c r="AA1675"/>
      <c r="AD1675"/>
    </row>
    <row r="1676" spans="11:30" ht="18" customHeight="1">
      <c r="K1676" t="str">
        <f>IF(OR($I1676="Čaká na integráciu",$J1676="Integrácia"),"ÁNO","")</f>
        <v/>
      </c>
      <c r="L1676" t="str">
        <f>IF(OR($I1676="Čaká na biznis",$J1676="Biznis",$J1676="Švédsky biznis"),"ÁNO","")</f>
        <v/>
      </c>
      <c r="N1676" s="2"/>
      <c r="O1676" s="3"/>
      <c r="Q1676"/>
      <c r="R1676" s="3"/>
      <c r="S1676" s="3"/>
      <c r="T1676"/>
      <c r="U1676"/>
      <c r="V1676"/>
      <c r="W1676"/>
      <c r="Z1676"/>
      <c r="AA1676"/>
      <c r="AD1676"/>
    </row>
    <row r="1677" spans="11:30" ht="18" customHeight="1">
      <c r="K1677" t="str">
        <f>IF(OR($I1677="Čaká na integráciu",$J1677="Integrácia"),"ÁNO","")</f>
        <v/>
      </c>
      <c r="L1677" t="str">
        <f>IF(OR($I1677="Čaká na biznis",$J1677="Biznis",$J1677="Švédsky biznis"),"ÁNO","")</f>
        <v/>
      </c>
      <c r="N1677" s="2"/>
      <c r="O1677" s="3"/>
      <c r="Q1677"/>
      <c r="R1677" s="3"/>
      <c r="S1677" s="3"/>
      <c r="T1677"/>
      <c r="U1677"/>
      <c r="V1677"/>
      <c r="W1677"/>
      <c r="Z1677"/>
      <c r="AA1677"/>
      <c r="AD1677"/>
    </row>
    <row r="1678" spans="11:30" ht="18" customHeight="1">
      <c r="K1678" t="str">
        <f>IF(OR($I1678="Čaká na integráciu",$J1678="Integrácia"),"ÁNO","")</f>
        <v/>
      </c>
      <c r="L1678" t="str">
        <f>IF(OR($I1678="Čaká na biznis",$J1678="Biznis",$J1678="Švédsky biznis"),"ÁNO","")</f>
        <v/>
      </c>
      <c r="N1678" s="2"/>
      <c r="O1678" s="3"/>
      <c r="Q1678"/>
      <c r="R1678" s="3"/>
      <c r="S1678" s="3"/>
      <c r="T1678"/>
      <c r="U1678"/>
      <c r="V1678"/>
      <c r="W1678"/>
      <c r="Z1678"/>
      <c r="AA1678"/>
      <c r="AD1678"/>
    </row>
    <row r="1679" spans="11:30" ht="18" customHeight="1">
      <c r="K1679" t="str">
        <f>IF(OR($I1679="Čaká na integráciu",$J1679="Integrácia"),"ÁNO","")</f>
        <v/>
      </c>
      <c r="L1679" t="str">
        <f>IF(OR($I1679="Čaká na biznis",$J1679="Biznis",$J1679="Švédsky biznis"),"ÁNO","")</f>
        <v/>
      </c>
      <c r="N1679" s="2"/>
      <c r="O1679" s="3"/>
      <c r="Q1679"/>
      <c r="R1679" s="3"/>
      <c r="S1679" s="3"/>
      <c r="T1679"/>
      <c r="U1679"/>
      <c r="V1679"/>
      <c r="W1679"/>
      <c r="Z1679"/>
      <c r="AA1679"/>
      <c r="AD1679"/>
    </row>
    <row r="1680" spans="11:30" ht="18" customHeight="1">
      <c r="K1680" t="str">
        <f>IF(OR($I1680="Čaká na integráciu",$J1680="Integrácia"),"ÁNO","")</f>
        <v/>
      </c>
      <c r="L1680" t="str">
        <f>IF(OR($I1680="Čaká na biznis",$J1680="Biznis",$J1680="Švédsky biznis"),"ÁNO","")</f>
        <v/>
      </c>
      <c r="N1680" s="2"/>
      <c r="O1680" s="3"/>
      <c r="Q1680"/>
      <c r="R1680" s="3"/>
      <c r="S1680" s="3"/>
      <c r="T1680"/>
      <c r="U1680"/>
      <c r="V1680"/>
      <c r="W1680"/>
      <c r="Z1680"/>
      <c r="AA1680"/>
      <c r="AD1680"/>
    </row>
    <row r="1681" spans="11:30" ht="18" customHeight="1">
      <c r="K1681" t="str">
        <f>IF(OR($I1681="Čaká na integráciu",$J1681="Integrácia"),"ÁNO","")</f>
        <v/>
      </c>
      <c r="L1681" t="str">
        <f>IF(OR($I1681="Čaká na biznis",$J1681="Biznis",$J1681="Švédsky biznis"),"ÁNO","")</f>
        <v/>
      </c>
      <c r="N1681" s="2"/>
      <c r="O1681" s="3"/>
      <c r="Q1681"/>
      <c r="R1681" s="3"/>
      <c r="S1681" s="3"/>
      <c r="T1681"/>
      <c r="U1681"/>
      <c r="V1681"/>
      <c r="W1681"/>
      <c r="Z1681"/>
      <c r="AA1681"/>
      <c r="AD1681"/>
    </row>
    <row r="1682" spans="11:30" ht="18" customHeight="1">
      <c r="K1682" t="str">
        <f>IF(OR($I1682="Čaká na integráciu",$J1682="Integrácia"),"ÁNO","")</f>
        <v/>
      </c>
      <c r="L1682" t="str">
        <f>IF(OR($I1682="Čaká na biznis",$J1682="Biznis",$J1682="Švédsky biznis"),"ÁNO","")</f>
        <v/>
      </c>
      <c r="N1682" s="2"/>
      <c r="O1682" s="3"/>
      <c r="Q1682"/>
      <c r="R1682" s="3"/>
      <c r="S1682" s="3"/>
      <c r="T1682"/>
      <c r="U1682"/>
      <c r="V1682"/>
      <c r="W1682"/>
      <c r="Z1682"/>
      <c r="AA1682"/>
      <c r="AD1682"/>
    </row>
    <row r="1683" spans="11:30" ht="18" customHeight="1">
      <c r="K1683" t="str">
        <f>IF(OR($I1683="Čaká na integráciu",$J1683="Integrácia"),"ÁNO","")</f>
        <v/>
      </c>
      <c r="L1683" t="str">
        <f>IF(OR($I1683="Čaká na biznis",$J1683="Biznis",$J1683="Švédsky biznis"),"ÁNO","")</f>
        <v/>
      </c>
      <c r="N1683" s="2"/>
      <c r="O1683" s="3"/>
      <c r="Q1683"/>
      <c r="R1683" s="3"/>
      <c r="S1683" s="3"/>
      <c r="T1683"/>
      <c r="U1683"/>
      <c r="V1683"/>
      <c r="W1683"/>
      <c r="Z1683"/>
      <c r="AA1683"/>
      <c r="AD1683"/>
    </row>
    <row r="1684" spans="11:30" ht="18" customHeight="1">
      <c r="K1684" t="str">
        <f>IF(OR($I1684="Čaká na integráciu",$J1684="Integrácia"),"ÁNO","")</f>
        <v/>
      </c>
      <c r="L1684" t="str">
        <f>IF(OR($I1684="Čaká na biznis",$J1684="Biznis",$J1684="Švédsky biznis"),"ÁNO","")</f>
        <v/>
      </c>
      <c r="N1684" s="2"/>
      <c r="O1684" s="3"/>
      <c r="Q1684"/>
      <c r="R1684" s="3"/>
      <c r="S1684" s="3"/>
      <c r="T1684"/>
      <c r="U1684"/>
      <c r="V1684"/>
      <c r="W1684"/>
      <c r="Z1684"/>
      <c r="AA1684"/>
      <c r="AD1684"/>
    </row>
    <row r="1685" spans="11:30" ht="18" customHeight="1">
      <c r="K1685" t="str">
        <f>IF(OR($I1685="Čaká na integráciu",$J1685="Integrácia"),"ÁNO","")</f>
        <v/>
      </c>
      <c r="L1685" t="str">
        <f>IF(OR($I1685="Čaká na biznis",$J1685="Biznis",$J1685="Švédsky biznis"),"ÁNO","")</f>
        <v/>
      </c>
      <c r="N1685" s="2"/>
      <c r="O1685" s="3"/>
      <c r="Q1685"/>
      <c r="R1685" s="3"/>
      <c r="S1685" s="3"/>
      <c r="T1685"/>
      <c r="U1685"/>
      <c r="V1685"/>
      <c r="W1685"/>
      <c r="Z1685"/>
      <c r="AA1685"/>
      <c r="AD1685"/>
    </row>
    <row r="1686" spans="11:30" ht="18" customHeight="1">
      <c r="K1686" t="str">
        <f>IF(OR($I1686="Čaká na integráciu",$J1686="Integrácia"),"ÁNO","")</f>
        <v/>
      </c>
      <c r="L1686" t="str">
        <f>IF(OR($I1686="Čaká na biznis",$J1686="Biznis",$J1686="Švédsky biznis"),"ÁNO","")</f>
        <v/>
      </c>
      <c r="N1686" s="2"/>
      <c r="O1686" s="3"/>
      <c r="Q1686"/>
      <c r="R1686" s="3"/>
      <c r="S1686" s="3"/>
      <c r="T1686"/>
      <c r="U1686"/>
      <c r="V1686"/>
      <c r="W1686"/>
      <c r="Z1686"/>
      <c r="AA1686"/>
      <c r="AD1686"/>
    </row>
    <row r="1687" spans="11:30" ht="18" customHeight="1">
      <c r="K1687" t="str">
        <f>IF(OR($I1687="Čaká na integráciu",$J1687="Integrácia"),"ÁNO","")</f>
        <v/>
      </c>
      <c r="L1687" t="str">
        <f>IF(OR($I1687="Čaká na biznis",$J1687="Biznis",$J1687="Švédsky biznis"),"ÁNO","")</f>
        <v/>
      </c>
      <c r="N1687" s="2"/>
      <c r="O1687" s="3"/>
      <c r="Q1687"/>
      <c r="R1687" s="3"/>
      <c r="S1687" s="3"/>
      <c r="T1687"/>
      <c r="U1687"/>
      <c r="V1687"/>
      <c r="W1687"/>
      <c r="Z1687"/>
      <c r="AA1687"/>
      <c r="AD1687"/>
    </row>
    <row r="1688" spans="11:30" ht="18" customHeight="1">
      <c r="K1688" t="str">
        <f>IF(OR($I1688="Čaká na integráciu",$J1688="Integrácia"),"ÁNO","")</f>
        <v/>
      </c>
      <c r="L1688" t="str">
        <f>IF(OR($I1688="Čaká na biznis",$J1688="Biznis",$J1688="Švédsky biznis"),"ÁNO","")</f>
        <v/>
      </c>
      <c r="N1688" s="2"/>
      <c r="O1688" s="3"/>
      <c r="Q1688"/>
      <c r="R1688" s="3"/>
      <c r="S1688" s="3"/>
      <c r="T1688"/>
      <c r="U1688"/>
      <c r="V1688"/>
      <c r="W1688"/>
      <c r="Z1688"/>
      <c r="AA1688"/>
      <c r="AD1688"/>
    </row>
    <row r="1689" spans="11:30" ht="18" customHeight="1">
      <c r="K1689" t="str">
        <f>IF(OR($I1689="Čaká na integráciu",$J1689="Integrácia"),"ÁNO","")</f>
        <v/>
      </c>
      <c r="L1689" t="str">
        <f>IF(OR($I1689="Čaká na biznis",$J1689="Biznis",$J1689="Švédsky biznis"),"ÁNO","")</f>
        <v/>
      </c>
      <c r="N1689" s="2"/>
      <c r="O1689" s="3"/>
      <c r="Q1689"/>
      <c r="R1689" s="3"/>
      <c r="S1689" s="3"/>
      <c r="T1689"/>
      <c r="U1689"/>
      <c r="V1689"/>
      <c r="W1689"/>
      <c r="Z1689"/>
      <c r="AA1689"/>
      <c r="AD1689"/>
    </row>
    <row r="1690" spans="11:30" ht="18" customHeight="1">
      <c r="K1690" t="str">
        <f>IF(OR($I1690="Čaká na integráciu",$J1690="Integrácia"),"ÁNO","")</f>
        <v/>
      </c>
      <c r="L1690" t="str">
        <f>IF(OR($I1690="Čaká na biznis",$J1690="Biznis",$J1690="Švédsky biznis"),"ÁNO","")</f>
        <v/>
      </c>
      <c r="N1690" s="2"/>
      <c r="O1690" s="3"/>
      <c r="Q1690"/>
      <c r="R1690" s="3"/>
      <c r="S1690" s="3"/>
      <c r="T1690"/>
      <c r="U1690"/>
      <c r="V1690"/>
      <c r="W1690"/>
      <c r="Z1690"/>
      <c r="AA1690"/>
      <c r="AD1690"/>
    </row>
    <row r="1691" spans="11:30" ht="18" customHeight="1">
      <c r="K1691" t="str">
        <f>IF(OR($I1691="Čaká na integráciu",$J1691="Integrácia"),"ÁNO","")</f>
        <v/>
      </c>
      <c r="L1691" t="str">
        <f>IF(OR($I1691="Čaká na biznis",$J1691="Biznis",$J1691="Švédsky biznis"),"ÁNO","")</f>
        <v/>
      </c>
      <c r="N1691" s="2"/>
      <c r="O1691" s="3"/>
      <c r="Q1691"/>
      <c r="R1691" s="3"/>
      <c r="S1691" s="3"/>
      <c r="T1691"/>
      <c r="U1691"/>
      <c r="V1691"/>
      <c r="W1691"/>
      <c r="Z1691"/>
      <c r="AA1691"/>
      <c r="AD1691"/>
    </row>
    <row r="1692" spans="11:30" ht="18" customHeight="1">
      <c r="K1692" t="str">
        <f>IF(OR($I1692="Čaká na integráciu",$J1692="Integrácia"),"ÁNO","")</f>
        <v/>
      </c>
      <c r="L1692" t="str">
        <f>IF(OR($I1692="Čaká na biznis",$J1692="Biznis",$J1692="Švédsky biznis"),"ÁNO","")</f>
        <v/>
      </c>
      <c r="N1692" s="2"/>
      <c r="O1692" s="3"/>
      <c r="Q1692"/>
      <c r="R1692" s="3"/>
      <c r="S1692" s="3"/>
      <c r="T1692"/>
      <c r="U1692"/>
      <c r="V1692"/>
      <c r="W1692"/>
      <c r="Z1692"/>
      <c r="AA1692"/>
      <c r="AD1692"/>
    </row>
    <row r="1693" spans="11:30" ht="18" customHeight="1">
      <c r="K1693" t="str">
        <f>IF(OR($I1693="Čaká na integráciu",$J1693="Integrácia"),"ÁNO","")</f>
        <v/>
      </c>
      <c r="L1693" t="str">
        <f>IF(OR($I1693="Čaká na biznis",$J1693="Biznis",$J1693="Švédsky biznis"),"ÁNO","")</f>
        <v/>
      </c>
      <c r="N1693" s="2"/>
      <c r="O1693" s="3"/>
      <c r="Q1693"/>
      <c r="R1693" s="3"/>
      <c r="S1693" s="3"/>
      <c r="T1693"/>
      <c r="U1693"/>
      <c r="V1693"/>
      <c r="W1693"/>
      <c r="Z1693"/>
      <c r="AA1693"/>
      <c r="AD1693"/>
    </row>
    <row r="1694" spans="11:30" ht="18" customHeight="1">
      <c r="K1694" t="str">
        <f>IF(OR($I1694="Čaká na integráciu",$J1694="Integrácia"),"ÁNO","")</f>
        <v/>
      </c>
      <c r="L1694" t="str">
        <f>IF(OR($I1694="Čaká na biznis",$J1694="Biznis",$J1694="Švédsky biznis"),"ÁNO","")</f>
        <v/>
      </c>
      <c r="N1694" s="2"/>
      <c r="O1694" s="3"/>
      <c r="Q1694"/>
      <c r="R1694" s="3"/>
      <c r="S1694" s="3"/>
      <c r="T1694"/>
      <c r="U1694"/>
      <c r="V1694"/>
      <c r="W1694"/>
      <c r="Z1694"/>
      <c r="AA1694"/>
      <c r="AD1694"/>
    </row>
    <row r="1695" spans="11:30" ht="18" customHeight="1">
      <c r="K1695" t="str">
        <f>IF(OR($I1695="Čaká na integráciu",$J1695="Integrácia"),"ÁNO","")</f>
        <v/>
      </c>
      <c r="L1695" t="str">
        <f>IF(OR($I1695="Čaká na biznis",$J1695="Biznis",$J1695="Švédsky biznis"),"ÁNO","")</f>
        <v/>
      </c>
      <c r="N1695" s="2"/>
      <c r="O1695" s="3"/>
      <c r="Q1695"/>
      <c r="R1695" s="3"/>
      <c r="S1695" s="3"/>
      <c r="T1695"/>
      <c r="U1695"/>
      <c r="V1695"/>
      <c r="W1695"/>
      <c r="Z1695"/>
      <c r="AA1695"/>
      <c r="AD1695"/>
    </row>
    <row r="1696" spans="11:30" ht="18" customHeight="1">
      <c r="K1696" t="str">
        <f>IF(OR($I1696="Čaká na integráciu",$J1696="Integrácia"),"ÁNO","")</f>
        <v/>
      </c>
      <c r="L1696" t="str">
        <f>IF(OR($I1696="Čaká na biznis",$J1696="Biznis",$J1696="Švédsky biznis"),"ÁNO","")</f>
        <v/>
      </c>
      <c r="N1696" s="2"/>
      <c r="O1696" s="3"/>
      <c r="Q1696"/>
      <c r="R1696" s="3"/>
      <c r="S1696" s="3"/>
      <c r="T1696"/>
      <c r="U1696"/>
      <c r="V1696"/>
      <c r="W1696"/>
      <c r="Z1696"/>
      <c r="AA1696"/>
      <c r="AD1696"/>
    </row>
    <row r="1697" spans="11:30" ht="18" customHeight="1">
      <c r="K1697" t="str">
        <f>IF(OR($I1697="Čaká na integráciu",$J1697="Integrácia"),"ÁNO","")</f>
        <v/>
      </c>
      <c r="L1697" t="str">
        <f>IF(OR($I1697="Čaká na biznis",$J1697="Biznis",$J1697="Švédsky biznis"),"ÁNO","")</f>
        <v/>
      </c>
      <c r="N1697" s="2"/>
      <c r="O1697" s="3"/>
      <c r="Q1697"/>
      <c r="R1697" s="3"/>
      <c r="S1697" s="3"/>
      <c r="T1697"/>
      <c r="U1697"/>
      <c r="V1697"/>
      <c r="W1697"/>
      <c r="Z1697"/>
      <c r="AA1697"/>
      <c r="AD1697"/>
    </row>
    <row r="1698" spans="11:30" ht="18" customHeight="1">
      <c r="K1698" t="str">
        <f>IF(OR($I1698="Čaká na integráciu",$J1698="Integrácia"),"ÁNO","")</f>
        <v/>
      </c>
      <c r="L1698" t="str">
        <f>IF(OR($I1698="Čaká na biznis",$J1698="Biznis",$J1698="Švédsky biznis"),"ÁNO","")</f>
        <v/>
      </c>
      <c r="N1698" s="2"/>
      <c r="O1698" s="3"/>
      <c r="Q1698"/>
      <c r="R1698" s="3"/>
      <c r="S1698" s="3"/>
      <c r="T1698"/>
      <c r="U1698"/>
      <c r="V1698"/>
      <c r="W1698"/>
      <c r="Z1698"/>
      <c r="AA1698"/>
      <c r="AD1698"/>
    </row>
    <row r="1699" spans="11:30" ht="18" customHeight="1">
      <c r="K1699" t="str">
        <f>IF(OR($I1699="Čaká na integráciu",$J1699="Integrácia"),"ÁNO","")</f>
        <v/>
      </c>
      <c r="L1699" t="str">
        <f>IF(OR($I1699="Čaká na biznis",$J1699="Biznis",$J1699="Švédsky biznis"),"ÁNO","")</f>
        <v/>
      </c>
      <c r="N1699" s="2"/>
      <c r="O1699" s="3"/>
      <c r="Q1699"/>
      <c r="R1699" s="3"/>
      <c r="S1699" s="3"/>
      <c r="T1699"/>
      <c r="U1699"/>
      <c r="V1699"/>
      <c r="W1699"/>
      <c r="Z1699"/>
      <c r="AA1699"/>
      <c r="AD1699"/>
    </row>
    <row r="1700" spans="11:30" ht="18" customHeight="1">
      <c r="K1700" t="str">
        <f>IF(OR($I1700="Čaká na integráciu",$J1700="Integrácia"),"ÁNO","")</f>
        <v/>
      </c>
      <c r="L1700" t="str">
        <f>IF(OR($I1700="Čaká na biznis",$J1700="Biznis",$J1700="Švédsky biznis"),"ÁNO","")</f>
        <v/>
      </c>
      <c r="N1700" s="2"/>
      <c r="O1700" s="3"/>
      <c r="Q1700"/>
      <c r="R1700" s="3"/>
      <c r="S1700" s="3"/>
      <c r="T1700"/>
      <c r="U1700"/>
      <c r="V1700"/>
      <c r="W1700"/>
      <c r="Z1700"/>
      <c r="AA1700"/>
      <c r="AD1700"/>
    </row>
    <row r="1701" spans="11:30" ht="18" customHeight="1">
      <c r="K1701" t="str">
        <f>IF(OR($I1701="Čaká na integráciu",$J1701="Integrácia"),"ÁNO","")</f>
        <v/>
      </c>
      <c r="L1701" t="str">
        <f>IF(OR($I1701="Čaká na biznis",$J1701="Biznis",$J1701="Švédsky biznis"),"ÁNO","")</f>
        <v/>
      </c>
      <c r="N1701" s="2"/>
      <c r="O1701" s="3"/>
      <c r="Q1701"/>
      <c r="R1701" s="3"/>
      <c r="S1701" s="3"/>
      <c r="T1701"/>
      <c r="U1701"/>
      <c r="V1701"/>
      <c r="W1701"/>
      <c r="Z1701"/>
      <c r="AA1701"/>
      <c r="AD1701"/>
    </row>
    <row r="1702" spans="11:30" ht="18" customHeight="1">
      <c r="K1702" t="str">
        <f>IF(OR($I1702="Čaká na integráciu",$J1702="Integrácia"),"ÁNO","")</f>
        <v/>
      </c>
      <c r="L1702" t="str">
        <f>IF(OR($I1702="Čaká na biznis",$J1702="Biznis",$J1702="Švédsky biznis"),"ÁNO","")</f>
        <v/>
      </c>
      <c r="N1702" s="2"/>
      <c r="O1702" s="3"/>
      <c r="Q1702"/>
      <c r="R1702" s="3"/>
      <c r="S1702" s="3"/>
      <c r="T1702"/>
      <c r="U1702"/>
      <c r="V1702"/>
      <c r="W1702"/>
      <c r="Z1702"/>
      <c r="AA1702"/>
      <c r="AD1702"/>
    </row>
    <row r="1703" spans="11:30" ht="18" customHeight="1">
      <c r="K1703" t="str">
        <f>IF(OR($I1703="Čaká na integráciu",$J1703="Integrácia"),"ÁNO","")</f>
        <v/>
      </c>
      <c r="L1703" t="str">
        <f>IF(OR($I1703="Čaká na biznis",$J1703="Biznis",$J1703="Švédsky biznis"),"ÁNO","")</f>
        <v/>
      </c>
      <c r="N1703" s="2"/>
      <c r="O1703" s="3"/>
      <c r="Q1703"/>
      <c r="R1703" s="3"/>
      <c r="S1703" s="3"/>
      <c r="T1703"/>
      <c r="U1703"/>
      <c r="V1703"/>
      <c r="W1703"/>
      <c r="Z1703"/>
      <c r="AA1703"/>
      <c r="AD1703"/>
    </row>
    <row r="1704" spans="11:30" ht="18" customHeight="1">
      <c r="K1704" t="str">
        <f>IF(OR($I1704="Čaká na integráciu",$J1704="Integrácia"),"ÁNO","")</f>
        <v/>
      </c>
      <c r="L1704" t="str">
        <f>IF(OR($I1704="Čaká na biznis",$J1704="Biznis",$J1704="Švédsky biznis"),"ÁNO","")</f>
        <v/>
      </c>
      <c r="N1704" s="2"/>
      <c r="O1704" s="3"/>
      <c r="Q1704"/>
      <c r="R1704" s="3"/>
      <c r="S1704" s="3"/>
      <c r="T1704"/>
      <c r="U1704"/>
      <c r="V1704"/>
      <c r="W1704"/>
      <c r="Z1704"/>
      <c r="AA1704"/>
      <c r="AD1704"/>
    </row>
    <row r="1705" spans="11:30" ht="18" customHeight="1">
      <c r="K1705" t="str">
        <f>IF(OR($I1705="Čaká na integráciu",$J1705="Integrácia"),"ÁNO","")</f>
        <v/>
      </c>
      <c r="L1705" t="str">
        <f>IF(OR($I1705="Čaká na biznis",$J1705="Biznis",$J1705="Švédsky biznis"),"ÁNO","")</f>
        <v/>
      </c>
      <c r="N1705" s="2"/>
      <c r="O1705" s="3"/>
      <c r="Q1705"/>
      <c r="R1705" s="3"/>
      <c r="S1705" s="3"/>
      <c r="T1705"/>
      <c r="U1705"/>
      <c r="V1705"/>
      <c r="W1705"/>
      <c r="Z1705"/>
      <c r="AA1705"/>
      <c r="AD1705"/>
    </row>
    <row r="1706" spans="11:30" ht="18" customHeight="1">
      <c r="K1706" t="str">
        <f>IF(OR($I1706="Čaká na integráciu",$J1706="Integrácia"),"ÁNO","")</f>
        <v/>
      </c>
      <c r="L1706" t="str">
        <f>IF(OR($I1706="Čaká na biznis",$J1706="Biznis",$J1706="Švédsky biznis"),"ÁNO","")</f>
        <v/>
      </c>
      <c r="N1706" s="2"/>
      <c r="O1706" s="3"/>
      <c r="Q1706"/>
      <c r="R1706" s="3"/>
      <c r="S1706" s="3"/>
      <c r="T1706"/>
      <c r="U1706"/>
      <c r="V1706"/>
      <c r="W1706"/>
      <c r="Z1706"/>
      <c r="AA1706"/>
      <c r="AD1706"/>
    </row>
    <row r="1707" spans="11:30" ht="18" customHeight="1">
      <c r="K1707" t="str">
        <f>IF(OR($I1707="Čaká na integráciu",$J1707="Integrácia"),"ÁNO","")</f>
        <v/>
      </c>
      <c r="L1707" t="str">
        <f>IF(OR($I1707="Čaká na biznis",$J1707="Biznis",$J1707="Švédsky biznis"),"ÁNO","")</f>
        <v/>
      </c>
      <c r="N1707" s="2"/>
      <c r="O1707" s="3"/>
      <c r="Q1707"/>
      <c r="R1707" s="3"/>
      <c r="S1707" s="3"/>
      <c r="T1707"/>
      <c r="U1707"/>
      <c r="V1707"/>
      <c r="W1707"/>
      <c r="Z1707"/>
      <c r="AA1707"/>
      <c r="AD1707"/>
    </row>
    <row r="1708" spans="11:30" ht="18" customHeight="1">
      <c r="K1708" t="str">
        <f>IF(OR($I1708="Čaká na integráciu",$J1708="Integrácia"),"ÁNO","")</f>
        <v/>
      </c>
      <c r="L1708" t="str">
        <f>IF(OR($I1708="Čaká na biznis",$J1708="Biznis",$J1708="Švédsky biznis"),"ÁNO","")</f>
        <v/>
      </c>
      <c r="N1708" s="2"/>
      <c r="O1708" s="3"/>
      <c r="Q1708"/>
      <c r="R1708" s="3"/>
      <c r="S1708" s="3"/>
      <c r="T1708"/>
      <c r="U1708"/>
      <c r="V1708"/>
      <c r="W1708"/>
      <c r="Z1708"/>
      <c r="AA1708"/>
      <c r="AD1708"/>
    </row>
    <row r="1709" spans="11:30" ht="18" customHeight="1">
      <c r="K1709" t="str">
        <f>IF(OR($I1709="Čaká na integráciu",$J1709="Integrácia"),"ÁNO","")</f>
        <v/>
      </c>
      <c r="L1709" t="str">
        <f>IF(OR($I1709="Čaká na biznis",$J1709="Biznis",$J1709="Švédsky biznis"),"ÁNO","")</f>
        <v/>
      </c>
      <c r="N1709" s="2"/>
      <c r="O1709" s="3"/>
      <c r="Q1709"/>
      <c r="R1709" s="3"/>
      <c r="S1709" s="3"/>
      <c r="T1709"/>
      <c r="U1709"/>
      <c r="V1709"/>
      <c r="W1709"/>
      <c r="Z1709"/>
      <c r="AA1709"/>
      <c r="AD1709"/>
    </row>
    <row r="1710" spans="11:30" ht="18" customHeight="1">
      <c r="K1710" t="str">
        <f>IF(OR($I1710="Čaká na integráciu",$J1710="Integrácia"),"ÁNO","")</f>
        <v/>
      </c>
      <c r="L1710" t="str">
        <f>IF(OR($I1710="Čaká na biznis",$J1710="Biznis",$J1710="Švédsky biznis"),"ÁNO","")</f>
        <v/>
      </c>
      <c r="N1710" s="2"/>
      <c r="O1710" s="3"/>
      <c r="Q1710"/>
      <c r="R1710" s="3"/>
      <c r="S1710" s="3"/>
      <c r="T1710"/>
      <c r="U1710"/>
      <c r="V1710"/>
      <c r="W1710"/>
      <c r="Z1710"/>
      <c r="AA1710"/>
      <c r="AD1710"/>
    </row>
    <row r="1711" spans="11:30" ht="18" customHeight="1">
      <c r="K1711" t="str">
        <f>IF(OR($I1711="Čaká na integráciu",$J1711="Integrácia"),"ÁNO","")</f>
        <v/>
      </c>
      <c r="L1711" t="str">
        <f>IF(OR($I1711="Čaká na biznis",$J1711="Biznis",$J1711="Švédsky biznis"),"ÁNO","")</f>
        <v/>
      </c>
      <c r="N1711" s="2"/>
      <c r="O1711" s="3"/>
      <c r="Q1711"/>
      <c r="R1711" s="3"/>
      <c r="S1711" s="3"/>
      <c r="T1711"/>
      <c r="U1711"/>
      <c r="V1711"/>
      <c r="W1711"/>
      <c r="Z1711"/>
      <c r="AA1711"/>
      <c r="AD1711"/>
    </row>
    <row r="1712" spans="11:30" ht="18" customHeight="1">
      <c r="K1712" t="str">
        <f>IF(OR($I1712="Čaká na integráciu",$J1712="Integrácia"),"ÁNO","")</f>
        <v/>
      </c>
      <c r="L1712" t="str">
        <f>IF(OR($I1712="Čaká na biznis",$J1712="Biznis",$J1712="Švédsky biznis"),"ÁNO","")</f>
        <v/>
      </c>
      <c r="N1712" s="2"/>
      <c r="O1712" s="3"/>
      <c r="Q1712"/>
      <c r="R1712" s="3"/>
      <c r="S1712" s="3"/>
      <c r="T1712"/>
      <c r="U1712"/>
      <c r="V1712"/>
      <c r="W1712"/>
      <c r="Z1712"/>
      <c r="AA1712"/>
      <c r="AD1712"/>
    </row>
    <row r="1713" spans="11:30" ht="18" customHeight="1">
      <c r="K1713" t="str">
        <f>IF(OR($I1713="Čaká na integráciu",$J1713="Integrácia"),"ÁNO","")</f>
        <v/>
      </c>
      <c r="L1713" t="str">
        <f>IF(OR($I1713="Čaká na biznis",$J1713="Biznis",$J1713="Švédsky biznis"),"ÁNO","")</f>
        <v/>
      </c>
      <c r="N1713" s="2"/>
      <c r="O1713" s="3"/>
      <c r="Q1713"/>
      <c r="R1713" s="3"/>
      <c r="S1713" s="3"/>
      <c r="T1713"/>
      <c r="U1713"/>
      <c r="V1713"/>
      <c r="W1713"/>
      <c r="Z1713"/>
      <c r="AA1713"/>
      <c r="AD1713"/>
    </row>
    <row r="1714" spans="11:30" ht="18" customHeight="1">
      <c r="K1714" t="str">
        <f>IF(OR($I1714="Čaká na integráciu",$J1714="Integrácia"),"ÁNO","")</f>
        <v/>
      </c>
      <c r="L1714" t="str">
        <f>IF(OR($I1714="Čaká na biznis",$J1714="Biznis",$J1714="Švédsky biznis"),"ÁNO","")</f>
        <v/>
      </c>
      <c r="N1714" s="2"/>
      <c r="O1714" s="3"/>
      <c r="Q1714"/>
      <c r="R1714" s="3"/>
      <c r="S1714" s="3"/>
      <c r="T1714"/>
      <c r="U1714"/>
      <c r="V1714"/>
      <c r="W1714"/>
      <c r="Z1714"/>
      <c r="AA1714"/>
      <c r="AD1714"/>
    </row>
    <row r="1715" spans="11:30" ht="18" customHeight="1">
      <c r="K1715" t="str">
        <f>IF(OR($I1715="Čaká na integráciu",$J1715="Integrácia"),"ÁNO","")</f>
        <v/>
      </c>
      <c r="L1715" t="str">
        <f>IF(OR($I1715="Čaká na biznis",$J1715="Biznis",$J1715="Švédsky biznis"),"ÁNO","")</f>
        <v/>
      </c>
      <c r="N1715" s="2"/>
      <c r="O1715" s="3"/>
      <c r="Q1715"/>
      <c r="R1715" s="3"/>
      <c r="S1715" s="3"/>
      <c r="T1715"/>
      <c r="U1715"/>
      <c r="V1715"/>
      <c r="W1715"/>
      <c r="Z1715"/>
      <c r="AA1715"/>
      <c r="AD1715"/>
    </row>
    <row r="1716" spans="11:30" ht="18" customHeight="1">
      <c r="K1716" t="str">
        <f>IF(OR($I1716="Čaká na integráciu",$J1716="Integrácia"),"ÁNO","")</f>
        <v/>
      </c>
      <c r="L1716" t="str">
        <f>IF(OR($I1716="Čaká na biznis",$J1716="Biznis",$J1716="Švédsky biznis"),"ÁNO","")</f>
        <v/>
      </c>
      <c r="N1716" s="2"/>
      <c r="O1716" s="3"/>
      <c r="Q1716"/>
      <c r="R1716" s="3"/>
      <c r="S1716" s="3"/>
      <c r="T1716"/>
      <c r="U1716"/>
      <c r="V1716"/>
      <c r="W1716"/>
      <c r="Z1716"/>
      <c r="AA1716"/>
      <c r="AD1716"/>
    </row>
    <row r="1717" spans="11:30" ht="18" customHeight="1">
      <c r="K1717" t="str">
        <f>IF(OR($I1717="Čaká na integráciu",$J1717="Integrácia"),"ÁNO","")</f>
        <v/>
      </c>
      <c r="L1717" t="str">
        <f>IF(OR($I1717="Čaká na biznis",$J1717="Biznis",$J1717="Švédsky biznis"),"ÁNO","")</f>
        <v/>
      </c>
      <c r="N1717" s="2"/>
      <c r="O1717" s="3"/>
      <c r="Q1717"/>
      <c r="R1717" s="3"/>
      <c r="S1717" s="3"/>
      <c r="T1717"/>
      <c r="U1717"/>
      <c r="V1717"/>
      <c r="W1717"/>
      <c r="Z1717"/>
      <c r="AA1717"/>
      <c r="AD1717"/>
    </row>
    <row r="1718" spans="11:30" ht="18" customHeight="1">
      <c r="K1718" t="str">
        <f>IF(OR($I1718="Čaká na integráciu",$J1718="Integrácia"),"ÁNO","")</f>
        <v/>
      </c>
      <c r="L1718" t="str">
        <f>IF(OR($I1718="Čaká na biznis",$J1718="Biznis",$J1718="Švédsky biznis"),"ÁNO","")</f>
        <v/>
      </c>
      <c r="N1718" s="2"/>
      <c r="O1718" s="3"/>
      <c r="Q1718"/>
      <c r="R1718" s="3"/>
      <c r="S1718" s="3"/>
      <c r="T1718"/>
      <c r="U1718"/>
      <c r="V1718"/>
      <c r="W1718"/>
      <c r="Z1718"/>
      <c r="AA1718"/>
      <c r="AD1718"/>
    </row>
    <row r="1719" spans="11:30" ht="18" customHeight="1">
      <c r="K1719" t="str">
        <f>IF(OR($I1719="Čaká na integráciu",$J1719="Integrácia"),"ÁNO","")</f>
        <v/>
      </c>
      <c r="L1719" t="str">
        <f>IF(OR($I1719="Čaká na biznis",$J1719="Biznis",$J1719="Švédsky biznis"),"ÁNO","")</f>
        <v/>
      </c>
      <c r="N1719" s="2"/>
      <c r="O1719" s="3"/>
      <c r="Q1719"/>
      <c r="R1719" s="3"/>
      <c r="S1719" s="3"/>
      <c r="T1719"/>
      <c r="U1719"/>
      <c r="V1719"/>
      <c r="W1719"/>
      <c r="Z1719"/>
      <c r="AA1719"/>
      <c r="AD1719"/>
    </row>
    <row r="1720" spans="11:30" ht="18" customHeight="1">
      <c r="K1720" t="str">
        <f>IF(OR($I1720="Čaká na integráciu",$J1720="Integrácia"),"ÁNO","")</f>
        <v/>
      </c>
      <c r="L1720" t="str">
        <f>IF(OR($I1720="Čaká na biznis",$J1720="Biznis",$J1720="Švédsky biznis"),"ÁNO","")</f>
        <v/>
      </c>
      <c r="N1720" s="2"/>
      <c r="O1720" s="3"/>
      <c r="Q1720"/>
      <c r="R1720" s="3"/>
      <c r="S1720" s="3"/>
      <c r="T1720"/>
      <c r="U1720"/>
      <c r="V1720"/>
      <c r="W1720"/>
      <c r="Z1720"/>
      <c r="AA1720"/>
      <c r="AD1720"/>
    </row>
    <row r="1721" spans="11:30" ht="18" customHeight="1">
      <c r="K1721" t="str">
        <f>IF(OR($I1721="Čaká na integráciu",$J1721="Integrácia"),"ÁNO","")</f>
        <v/>
      </c>
      <c r="L1721" t="str">
        <f>IF(OR($I1721="Čaká na biznis",$J1721="Biznis",$J1721="Švédsky biznis"),"ÁNO","")</f>
        <v/>
      </c>
      <c r="N1721" s="2"/>
      <c r="O1721" s="3"/>
      <c r="Q1721"/>
      <c r="R1721" s="3"/>
      <c r="S1721" s="3"/>
      <c r="T1721"/>
      <c r="U1721"/>
      <c r="V1721"/>
      <c r="W1721"/>
      <c r="Z1721"/>
      <c r="AA1721"/>
      <c r="AD1721"/>
    </row>
    <row r="1722" spans="11:30" ht="18" customHeight="1">
      <c r="K1722" t="str">
        <f>IF(OR($I1722="Čaká na integráciu",$J1722="Integrácia"),"ÁNO","")</f>
        <v/>
      </c>
      <c r="L1722" t="str">
        <f>IF(OR($I1722="Čaká na biznis",$J1722="Biznis",$J1722="Švédsky biznis"),"ÁNO","")</f>
        <v/>
      </c>
      <c r="N1722" s="2"/>
      <c r="O1722" s="3"/>
      <c r="Q1722"/>
      <c r="R1722" s="3"/>
      <c r="S1722" s="3"/>
      <c r="T1722"/>
      <c r="U1722"/>
      <c r="V1722"/>
      <c r="W1722"/>
      <c r="Z1722"/>
      <c r="AA1722"/>
      <c r="AD1722"/>
    </row>
    <row r="1723" spans="11:30" ht="18" customHeight="1">
      <c r="K1723" t="str">
        <f>IF(OR($I1723="Čaká na integráciu",$J1723="Integrácia"),"ÁNO","")</f>
        <v/>
      </c>
      <c r="L1723" t="str">
        <f>IF(OR($I1723="Čaká na biznis",$J1723="Biznis",$J1723="Švédsky biznis"),"ÁNO","")</f>
        <v/>
      </c>
      <c r="N1723" s="2"/>
      <c r="O1723" s="3"/>
      <c r="Q1723"/>
      <c r="R1723" s="3"/>
      <c r="S1723" s="3"/>
      <c r="T1723"/>
      <c r="U1723"/>
      <c r="V1723"/>
      <c r="W1723"/>
      <c r="Z1723"/>
      <c r="AA1723"/>
      <c r="AD1723"/>
    </row>
    <row r="1724" spans="11:30" ht="18" customHeight="1">
      <c r="K1724" t="str">
        <f>IF(OR($I1724="Čaká na integráciu",$J1724="Integrácia"),"ÁNO","")</f>
        <v/>
      </c>
      <c r="L1724" t="str">
        <f>IF(OR($I1724="Čaká na biznis",$J1724="Biznis",$J1724="Švédsky biznis"),"ÁNO","")</f>
        <v/>
      </c>
      <c r="N1724" s="2"/>
      <c r="O1724" s="3"/>
      <c r="Q1724"/>
      <c r="R1724" s="3"/>
      <c r="S1724" s="3"/>
      <c r="T1724"/>
      <c r="U1724"/>
      <c r="V1724"/>
      <c r="W1724"/>
      <c r="Z1724"/>
      <c r="AA1724"/>
      <c r="AD1724"/>
    </row>
    <row r="1725" spans="11:30" ht="18" customHeight="1">
      <c r="K1725" t="str">
        <f>IF(OR($I1725="Čaká na integráciu",$J1725="Integrácia"),"ÁNO","")</f>
        <v/>
      </c>
      <c r="L1725" t="str">
        <f>IF(OR($I1725="Čaká na biznis",$J1725="Biznis",$J1725="Švédsky biznis"),"ÁNO","")</f>
        <v/>
      </c>
      <c r="N1725" s="2"/>
      <c r="O1725" s="3"/>
      <c r="Q1725"/>
      <c r="R1725" s="3"/>
      <c r="S1725" s="3"/>
      <c r="T1725"/>
      <c r="U1725"/>
      <c r="V1725"/>
      <c r="W1725"/>
      <c r="Z1725"/>
      <c r="AA1725"/>
      <c r="AD1725"/>
    </row>
    <row r="1726" spans="11:30" ht="18" customHeight="1">
      <c r="K1726" t="str">
        <f>IF(OR($I1726="Čaká na integráciu",$J1726="Integrácia"),"ÁNO","")</f>
        <v/>
      </c>
      <c r="L1726" t="str">
        <f>IF(OR($I1726="Čaká na biznis",$J1726="Biznis",$J1726="Švédsky biznis"),"ÁNO","")</f>
        <v/>
      </c>
      <c r="N1726" s="2"/>
      <c r="O1726" s="3"/>
      <c r="Q1726"/>
      <c r="R1726" s="3"/>
      <c r="S1726" s="3"/>
      <c r="T1726"/>
      <c r="U1726"/>
      <c r="V1726"/>
      <c r="W1726"/>
      <c r="Z1726"/>
      <c r="AA1726"/>
      <c r="AD1726"/>
    </row>
    <row r="1727" spans="11:30" ht="18" customHeight="1">
      <c r="K1727" t="str">
        <f>IF(OR($I1727="Čaká na integráciu",$J1727="Integrácia"),"ÁNO","")</f>
        <v/>
      </c>
      <c r="L1727" t="str">
        <f>IF(OR($I1727="Čaká na biznis",$J1727="Biznis",$J1727="Švédsky biznis"),"ÁNO","")</f>
        <v/>
      </c>
      <c r="N1727" s="2"/>
      <c r="O1727" s="3"/>
      <c r="Q1727"/>
      <c r="R1727" s="3"/>
      <c r="S1727" s="3"/>
      <c r="T1727"/>
      <c r="U1727"/>
      <c r="V1727"/>
      <c r="W1727"/>
      <c r="Z1727"/>
      <c r="AA1727"/>
      <c r="AD1727"/>
    </row>
    <row r="1728" spans="11:30" ht="18" customHeight="1">
      <c r="K1728" t="str">
        <f>IF(OR($I1728="Čaká na integráciu",$J1728="Integrácia"),"ÁNO","")</f>
        <v/>
      </c>
      <c r="L1728" t="str">
        <f>IF(OR($I1728="Čaká na biznis",$J1728="Biznis",$J1728="Švédsky biznis"),"ÁNO","")</f>
        <v/>
      </c>
      <c r="N1728" s="2"/>
      <c r="O1728" s="3"/>
      <c r="Q1728"/>
      <c r="R1728" s="3"/>
      <c r="S1728" s="3"/>
      <c r="T1728"/>
      <c r="U1728"/>
      <c r="V1728"/>
      <c r="W1728"/>
      <c r="Z1728"/>
      <c r="AA1728"/>
      <c r="AD1728"/>
    </row>
    <row r="1729" spans="11:30" ht="18" customHeight="1">
      <c r="K1729" t="str">
        <f>IF(OR($I1729="Čaká na integráciu",$J1729="Integrácia"),"ÁNO","")</f>
        <v/>
      </c>
      <c r="L1729" t="str">
        <f>IF(OR($I1729="Čaká na biznis",$J1729="Biznis",$J1729="Švédsky biznis"),"ÁNO","")</f>
        <v/>
      </c>
      <c r="N1729" s="2"/>
      <c r="O1729" s="3"/>
      <c r="Q1729"/>
      <c r="R1729" s="3"/>
      <c r="S1729" s="3"/>
      <c r="T1729"/>
      <c r="U1729"/>
      <c r="V1729"/>
      <c r="W1729"/>
      <c r="Z1729"/>
      <c r="AA1729"/>
      <c r="AD1729"/>
    </row>
    <row r="1730" spans="11:30" ht="18" customHeight="1">
      <c r="K1730" t="str">
        <f>IF(OR($I1730="Čaká na integráciu",$J1730="Integrácia"),"ÁNO","")</f>
        <v/>
      </c>
      <c r="L1730" t="str">
        <f>IF(OR($I1730="Čaká na biznis",$J1730="Biznis",$J1730="Švédsky biznis"),"ÁNO","")</f>
        <v/>
      </c>
      <c r="N1730" s="2"/>
      <c r="O1730" s="3"/>
      <c r="Q1730"/>
      <c r="R1730" s="3"/>
      <c r="S1730" s="3"/>
      <c r="T1730"/>
      <c r="U1730"/>
      <c r="V1730"/>
      <c r="W1730"/>
      <c r="Z1730"/>
      <c r="AA1730"/>
      <c r="AD1730"/>
    </row>
    <row r="1731" spans="11:30" ht="18" customHeight="1">
      <c r="K1731" t="str">
        <f>IF(OR($I1731="Čaká na integráciu",$J1731="Integrácia"),"ÁNO","")</f>
        <v/>
      </c>
      <c r="L1731" t="str">
        <f>IF(OR($I1731="Čaká na biznis",$J1731="Biznis",$J1731="Švédsky biznis"),"ÁNO","")</f>
        <v/>
      </c>
      <c r="N1731" s="2"/>
      <c r="O1731" s="3"/>
      <c r="Q1731"/>
      <c r="R1731" s="3"/>
      <c r="S1731" s="3"/>
      <c r="T1731"/>
      <c r="U1731"/>
      <c r="V1731"/>
      <c r="W1731"/>
      <c r="Z1731"/>
      <c r="AA1731"/>
      <c r="AD1731"/>
    </row>
    <row r="1732" spans="11:30" ht="18" customHeight="1">
      <c r="K1732" t="str">
        <f>IF(OR($I1732="Čaká na integráciu",$J1732="Integrácia"),"ÁNO","")</f>
        <v/>
      </c>
      <c r="L1732" t="str">
        <f>IF(OR($I1732="Čaká na biznis",$J1732="Biznis",$J1732="Švédsky biznis"),"ÁNO","")</f>
        <v/>
      </c>
      <c r="N1732" s="2"/>
      <c r="O1732" s="3"/>
      <c r="Q1732"/>
      <c r="R1732" s="3"/>
      <c r="S1732" s="3"/>
      <c r="T1732"/>
      <c r="U1732"/>
      <c r="V1732"/>
      <c r="W1732"/>
      <c r="Z1732"/>
      <c r="AA1732"/>
      <c r="AD1732"/>
    </row>
    <row r="1733" spans="11:30" ht="18" customHeight="1">
      <c r="K1733" t="str">
        <f>IF(OR($I1733="Čaká na integráciu",$J1733="Integrácia"),"ÁNO","")</f>
        <v/>
      </c>
      <c r="L1733" t="str">
        <f>IF(OR($I1733="Čaká na biznis",$J1733="Biznis",$J1733="Švédsky biznis"),"ÁNO","")</f>
        <v/>
      </c>
      <c r="N1733" s="2"/>
      <c r="O1733" s="3"/>
      <c r="Q1733"/>
      <c r="R1733" s="3"/>
      <c r="S1733" s="3"/>
      <c r="T1733"/>
      <c r="U1733"/>
      <c r="V1733"/>
      <c r="W1733"/>
      <c r="Z1733"/>
      <c r="AA1733"/>
      <c r="AD1733"/>
    </row>
    <row r="1734" spans="11:30" ht="18" customHeight="1">
      <c r="K1734" t="str">
        <f>IF(OR($I1734="Čaká na integráciu",$J1734="Integrácia"),"ÁNO","")</f>
        <v/>
      </c>
      <c r="L1734" t="str">
        <f>IF(OR($I1734="Čaká na biznis",$J1734="Biznis",$J1734="Švédsky biznis"),"ÁNO","")</f>
        <v/>
      </c>
      <c r="N1734" s="2"/>
      <c r="O1734" s="3"/>
      <c r="Q1734"/>
      <c r="R1734" s="3"/>
      <c r="S1734" s="3"/>
      <c r="T1734"/>
      <c r="U1734"/>
      <c r="V1734"/>
      <c r="W1734"/>
      <c r="Z1734"/>
      <c r="AA1734"/>
      <c r="AD1734"/>
    </row>
    <row r="1735" spans="11:30" ht="18" customHeight="1">
      <c r="K1735" t="str">
        <f>IF(OR($I1735="Čaká na integráciu",$J1735="Integrácia"),"ÁNO","")</f>
        <v/>
      </c>
      <c r="L1735" t="str">
        <f>IF(OR($I1735="Čaká na biznis",$J1735="Biznis",$J1735="Švédsky biznis"),"ÁNO","")</f>
        <v/>
      </c>
      <c r="N1735" s="2"/>
      <c r="O1735" s="3"/>
      <c r="Q1735"/>
      <c r="R1735" s="3"/>
      <c r="S1735" s="3"/>
      <c r="T1735"/>
      <c r="U1735"/>
      <c r="V1735"/>
      <c r="W1735"/>
      <c r="Z1735"/>
      <c r="AA1735"/>
      <c r="AD1735"/>
    </row>
    <row r="1736" spans="11:30" ht="18" customHeight="1">
      <c r="K1736" t="str">
        <f>IF(OR($I1736="Čaká na integráciu",$J1736="Integrácia"),"ÁNO","")</f>
        <v/>
      </c>
      <c r="L1736" t="str">
        <f>IF(OR($I1736="Čaká na biznis",$J1736="Biznis",$J1736="Švédsky biznis"),"ÁNO","")</f>
        <v/>
      </c>
      <c r="N1736" s="2"/>
      <c r="O1736" s="3"/>
      <c r="Q1736"/>
      <c r="R1736" s="3"/>
      <c r="S1736" s="3"/>
      <c r="T1736"/>
      <c r="U1736"/>
      <c r="V1736"/>
      <c r="W1736"/>
      <c r="Z1736"/>
      <c r="AA1736"/>
      <c r="AD1736"/>
    </row>
    <row r="1737" spans="11:30" ht="18" customHeight="1">
      <c r="K1737" t="str">
        <f>IF(OR($I1737="Čaká na integráciu",$J1737="Integrácia"),"ÁNO","")</f>
        <v/>
      </c>
      <c r="L1737" t="str">
        <f>IF(OR($I1737="Čaká na biznis",$J1737="Biznis",$J1737="Švédsky biznis"),"ÁNO","")</f>
        <v/>
      </c>
      <c r="N1737" s="2"/>
      <c r="O1737" s="3"/>
      <c r="Q1737"/>
      <c r="R1737" s="3"/>
      <c r="S1737" s="3"/>
      <c r="T1737"/>
      <c r="U1737"/>
      <c r="V1737"/>
      <c r="W1737"/>
      <c r="Z1737"/>
      <c r="AA1737"/>
      <c r="AD1737"/>
    </row>
    <row r="1738" spans="11:30" ht="18" customHeight="1">
      <c r="K1738" t="str">
        <f>IF(OR($I1738="Čaká na integráciu",$J1738="Integrácia"),"ÁNO","")</f>
        <v/>
      </c>
      <c r="L1738" t="str">
        <f>IF(OR($I1738="Čaká na biznis",$J1738="Biznis",$J1738="Švédsky biznis"),"ÁNO","")</f>
        <v/>
      </c>
      <c r="N1738" s="2"/>
      <c r="O1738" s="3"/>
      <c r="Q1738"/>
      <c r="R1738" s="3"/>
      <c r="S1738" s="3"/>
      <c r="T1738"/>
      <c r="U1738"/>
      <c r="V1738"/>
      <c r="W1738"/>
      <c r="Z1738"/>
      <c r="AA1738"/>
      <c r="AD1738"/>
    </row>
    <row r="1739" spans="11:30" ht="18" customHeight="1">
      <c r="K1739" t="str">
        <f>IF(OR($I1739="Čaká na integráciu",$J1739="Integrácia"),"ÁNO","")</f>
        <v/>
      </c>
      <c r="L1739" t="str">
        <f>IF(OR($I1739="Čaká na biznis",$J1739="Biznis",$J1739="Švédsky biznis"),"ÁNO","")</f>
        <v/>
      </c>
      <c r="N1739" s="2"/>
      <c r="O1739" s="3"/>
      <c r="Q1739"/>
      <c r="R1739" s="3"/>
      <c r="S1739" s="3"/>
      <c r="T1739"/>
      <c r="U1739"/>
      <c r="V1739"/>
      <c r="W1739"/>
      <c r="Z1739"/>
      <c r="AA1739"/>
      <c r="AD1739"/>
    </row>
    <row r="1740" spans="11:30" ht="18" customHeight="1">
      <c r="K1740" t="str">
        <f>IF(OR($I1740="Čaká na integráciu",$J1740="Integrácia"),"ÁNO","")</f>
        <v/>
      </c>
      <c r="L1740" t="str">
        <f>IF(OR($I1740="Čaká na biznis",$J1740="Biznis",$J1740="Švédsky biznis"),"ÁNO","")</f>
        <v/>
      </c>
      <c r="N1740" s="2"/>
      <c r="O1740" s="3"/>
      <c r="Q1740"/>
      <c r="R1740" s="3"/>
      <c r="S1740" s="3"/>
      <c r="T1740"/>
      <c r="U1740"/>
      <c r="V1740"/>
      <c r="W1740"/>
      <c r="Z1740"/>
      <c r="AA1740"/>
      <c r="AD1740"/>
    </row>
    <row r="1741" spans="11:30" ht="18" customHeight="1">
      <c r="K1741" t="str">
        <f>IF(OR($I1741="Čaká na integráciu",$J1741="Integrácia"),"ÁNO","")</f>
        <v/>
      </c>
      <c r="L1741" t="str">
        <f>IF(OR($I1741="Čaká na biznis",$J1741="Biznis",$J1741="Švédsky biznis"),"ÁNO","")</f>
        <v/>
      </c>
      <c r="N1741" s="2"/>
      <c r="O1741" s="3"/>
      <c r="Q1741"/>
      <c r="R1741" s="3"/>
      <c r="S1741" s="3"/>
      <c r="T1741"/>
      <c r="U1741"/>
      <c r="V1741"/>
      <c r="W1741"/>
      <c r="Z1741"/>
      <c r="AA1741"/>
      <c r="AD1741"/>
    </row>
    <row r="1742" spans="11:30" ht="18" customHeight="1">
      <c r="K1742" t="str">
        <f>IF(OR($I1742="Čaká na integráciu",$J1742="Integrácia"),"ÁNO","")</f>
        <v/>
      </c>
      <c r="L1742" t="str">
        <f>IF(OR($I1742="Čaká na biznis",$J1742="Biznis",$J1742="Švédsky biznis"),"ÁNO","")</f>
        <v/>
      </c>
      <c r="N1742" s="2"/>
      <c r="O1742" s="3"/>
      <c r="Q1742"/>
      <c r="R1742" s="3"/>
      <c r="S1742" s="3"/>
      <c r="T1742"/>
      <c r="U1742"/>
      <c r="V1742"/>
      <c r="W1742"/>
      <c r="Z1742"/>
      <c r="AA1742"/>
      <c r="AD1742"/>
    </row>
    <row r="1743" spans="11:30" ht="18" customHeight="1">
      <c r="K1743" t="str">
        <f>IF(OR($I1743="Čaká na integráciu",$J1743="Integrácia"),"ÁNO","")</f>
        <v/>
      </c>
      <c r="L1743" t="str">
        <f>IF(OR($I1743="Čaká na biznis",$J1743="Biznis",$J1743="Švédsky biznis"),"ÁNO","")</f>
        <v/>
      </c>
      <c r="N1743" s="2"/>
      <c r="O1743" s="3"/>
      <c r="Q1743"/>
      <c r="R1743" s="3"/>
      <c r="S1743" s="3"/>
      <c r="T1743"/>
      <c r="U1743"/>
      <c r="V1743"/>
      <c r="W1743"/>
      <c r="Z1743"/>
      <c r="AA1743"/>
      <c r="AD1743"/>
    </row>
    <row r="1744" spans="11:30" ht="18" customHeight="1">
      <c r="K1744" t="str">
        <f>IF(OR($I1744="Čaká na integráciu",$J1744="Integrácia"),"ÁNO","")</f>
        <v/>
      </c>
      <c r="L1744" t="str">
        <f>IF(OR($I1744="Čaká na biznis",$J1744="Biznis",$J1744="Švédsky biznis"),"ÁNO","")</f>
        <v/>
      </c>
      <c r="N1744" s="2"/>
      <c r="O1744" s="3"/>
      <c r="Q1744"/>
      <c r="R1744" s="3"/>
      <c r="S1744" s="3"/>
      <c r="T1744"/>
      <c r="U1744"/>
      <c r="V1744"/>
      <c r="W1744"/>
      <c r="Z1744"/>
      <c r="AA1744"/>
      <c r="AD1744"/>
    </row>
    <row r="1745" spans="11:30" ht="18" customHeight="1">
      <c r="K1745" t="str">
        <f>IF(OR($I1745="Čaká na integráciu",$J1745="Integrácia"),"ÁNO","")</f>
        <v/>
      </c>
      <c r="L1745" t="str">
        <f>IF(OR($I1745="Čaká na biznis",$J1745="Biznis",$J1745="Švédsky biznis"),"ÁNO","")</f>
        <v/>
      </c>
      <c r="N1745" s="2"/>
      <c r="O1745" s="3"/>
      <c r="Q1745"/>
      <c r="R1745" s="3"/>
      <c r="S1745" s="3"/>
      <c r="T1745"/>
      <c r="U1745"/>
      <c r="V1745"/>
      <c r="W1745"/>
      <c r="Z1745"/>
      <c r="AA1745"/>
      <c r="AD1745"/>
    </row>
    <row r="1746" spans="11:30" ht="18" customHeight="1">
      <c r="K1746" t="str">
        <f>IF(OR($I1746="Čaká na integráciu",$J1746="Integrácia"),"ÁNO","")</f>
        <v/>
      </c>
      <c r="L1746" t="str">
        <f>IF(OR($I1746="Čaká na biznis",$J1746="Biznis",$J1746="Švédsky biznis"),"ÁNO","")</f>
        <v/>
      </c>
      <c r="N1746" s="2"/>
      <c r="O1746" s="3"/>
      <c r="Q1746"/>
      <c r="R1746" s="3"/>
      <c r="S1746" s="3"/>
      <c r="T1746"/>
      <c r="U1746"/>
      <c r="V1746"/>
      <c r="W1746"/>
      <c r="Z1746"/>
      <c r="AA1746"/>
      <c r="AD1746"/>
    </row>
    <row r="1747" spans="11:30" ht="18" customHeight="1">
      <c r="K1747" t="str">
        <f>IF(OR($I1747="Čaká na integráciu",$J1747="Integrácia"),"ÁNO","")</f>
        <v/>
      </c>
      <c r="L1747" t="str">
        <f>IF(OR($I1747="Čaká na biznis",$J1747="Biznis",$J1747="Švédsky biznis"),"ÁNO","")</f>
        <v/>
      </c>
      <c r="N1747" s="2"/>
      <c r="O1747" s="3"/>
      <c r="Q1747"/>
      <c r="R1747" s="3"/>
      <c r="S1747" s="3"/>
      <c r="T1747"/>
      <c r="U1747"/>
      <c r="V1747"/>
      <c r="W1747"/>
      <c r="Z1747"/>
      <c r="AA1747"/>
      <c r="AD1747"/>
    </row>
    <row r="1748" spans="11:30" ht="18" customHeight="1">
      <c r="K1748" t="str">
        <f>IF(OR($I1748="Čaká na integráciu",$J1748="Integrácia"),"ÁNO","")</f>
        <v/>
      </c>
      <c r="L1748" t="str">
        <f>IF(OR($I1748="Čaká na biznis",$J1748="Biznis",$J1748="Švédsky biznis"),"ÁNO","")</f>
        <v/>
      </c>
      <c r="N1748" s="2"/>
      <c r="O1748" s="3"/>
      <c r="Q1748"/>
      <c r="R1748" s="3"/>
      <c r="S1748" s="3"/>
      <c r="T1748"/>
      <c r="U1748"/>
      <c r="V1748"/>
      <c r="W1748"/>
      <c r="Z1748"/>
      <c r="AA1748"/>
      <c r="AD1748"/>
    </row>
    <row r="1749" spans="11:30" ht="18" customHeight="1">
      <c r="K1749" t="str">
        <f>IF(OR($I1749="Čaká na integráciu",$J1749="Integrácia"),"ÁNO","")</f>
        <v/>
      </c>
      <c r="L1749" t="str">
        <f>IF(OR($I1749="Čaká na biznis",$J1749="Biznis",$J1749="Švédsky biznis"),"ÁNO","")</f>
        <v/>
      </c>
      <c r="N1749" s="2"/>
      <c r="O1749" s="3"/>
      <c r="Q1749"/>
      <c r="R1749" s="3"/>
      <c r="S1749" s="3"/>
      <c r="T1749"/>
      <c r="U1749"/>
      <c r="V1749"/>
      <c r="W1749"/>
      <c r="Z1749"/>
      <c r="AA1749"/>
      <c r="AD1749"/>
    </row>
    <row r="1750" spans="11:30" ht="18" customHeight="1">
      <c r="K1750" t="str">
        <f>IF(OR($I1750="Čaká na integráciu",$J1750="Integrácia"),"ÁNO","")</f>
        <v/>
      </c>
      <c r="L1750" t="str">
        <f>IF(OR($I1750="Čaká na biznis",$J1750="Biznis",$J1750="Švédsky biznis"),"ÁNO","")</f>
        <v/>
      </c>
      <c r="N1750" s="2"/>
      <c r="O1750" s="3"/>
      <c r="Q1750"/>
      <c r="R1750" s="3"/>
      <c r="S1750" s="3"/>
      <c r="T1750"/>
      <c r="U1750"/>
      <c r="V1750"/>
      <c r="W1750"/>
      <c r="Z1750"/>
      <c r="AA1750"/>
      <c r="AD1750"/>
    </row>
    <row r="1751" spans="11:30" ht="18" customHeight="1">
      <c r="K1751" t="str">
        <f>IF(OR($I1751="Čaká na integráciu",$J1751="Integrácia"),"ÁNO","")</f>
        <v/>
      </c>
      <c r="L1751" t="str">
        <f>IF(OR($I1751="Čaká na biznis",$J1751="Biznis",$J1751="Švédsky biznis"),"ÁNO","")</f>
        <v/>
      </c>
      <c r="N1751" s="2"/>
      <c r="O1751" s="3"/>
      <c r="Q1751"/>
      <c r="R1751" s="3"/>
      <c r="S1751" s="3"/>
      <c r="T1751"/>
      <c r="U1751"/>
      <c r="V1751"/>
      <c r="W1751"/>
      <c r="Z1751"/>
      <c r="AA1751"/>
      <c r="AD1751"/>
    </row>
    <row r="1752" spans="11:30" ht="18" customHeight="1">
      <c r="K1752" t="str">
        <f>IF(OR($I1752="Čaká na integráciu",$J1752="Integrácia"),"ÁNO","")</f>
        <v/>
      </c>
      <c r="L1752" t="str">
        <f>IF(OR($I1752="Čaká na biznis",$J1752="Biznis",$J1752="Švédsky biznis"),"ÁNO","")</f>
        <v/>
      </c>
      <c r="N1752" s="2"/>
      <c r="O1752" s="3"/>
      <c r="Q1752"/>
      <c r="R1752" s="3"/>
      <c r="S1752" s="3"/>
      <c r="T1752"/>
      <c r="U1752"/>
      <c r="V1752"/>
      <c r="W1752"/>
      <c r="Z1752"/>
      <c r="AA1752"/>
      <c r="AD1752"/>
    </row>
    <row r="1753" spans="11:30" ht="18" customHeight="1">
      <c r="K1753" t="str">
        <f>IF(OR($I1753="Čaká na integráciu",$J1753="Integrácia"),"ÁNO","")</f>
        <v/>
      </c>
      <c r="L1753" t="str">
        <f>IF(OR($I1753="Čaká na biznis",$J1753="Biznis",$J1753="Švédsky biznis"),"ÁNO","")</f>
        <v/>
      </c>
      <c r="N1753" s="2"/>
      <c r="O1753" s="3"/>
      <c r="Q1753"/>
      <c r="R1753" s="3"/>
      <c r="S1753" s="3"/>
      <c r="T1753"/>
      <c r="U1753"/>
      <c r="V1753"/>
      <c r="W1753"/>
      <c r="Z1753"/>
      <c r="AA1753"/>
      <c r="AD1753"/>
    </row>
    <row r="1754" spans="11:30" ht="18" customHeight="1">
      <c r="K1754" t="str">
        <f>IF(OR($I1754="Čaká na integráciu",$J1754="Integrácia"),"ÁNO","")</f>
        <v/>
      </c>
      <c r="L1754" t="str">
        <f>IF(OR($I1754="Čaká na biznis",$J1754="Biznis",$J1754="Švédsky biznis"),"ÁNO","")</f>
        <v/>
      </c>
      <c r="N1754" s="2"/>
      <c r="O1754" s="3"/>
      <c r="Q1754"/>
      <c r="R1754" s="3"/>
      <c r="S1754" s="3"/>
      <c r="T1754"/>
      <c r="U1754"/>
      <c r="V1754"/>
      <c r="W1754"/>
      <c r="Z1754"/>
      <c r="AA1754"/>
      <c r="AD1754"/>
    </row>
    <row r="1755" spans="11:30" ht="18" customHeight="1">
      <c r="K1755" t="str">
        <f>IF(OR($I1755="Čaká na integráciu",$J1755="Integrácia"),"ÁNO","")</f>
        <v/>
      </c>
      <c r="L1755" t="str">
        <f>IF(OR($I1755="Čaká na biznis",$J1755="Biznis",$J1755="Švédsky biznis"),"ÁNO","")</f>
        <v/>
      </c>
      <c r="N1755" s="2"/>
      <c r="O1755" s="3"/>
      <c r="Q1755"/>
      <c r="R1755" s="3"/>
      <c r="S1755" s="3"/>
      <c r="T1755"/>
      <c r="U1755"/>
      <c r="V1755"/>
      <c r="W1755"/>
      <c r="Z1755"/>
      <c r="AA1755"/>
      <c r="AD1755"/>
    </row>
    <row r="1756" spans="11:30" ht="18" customHeight="1">
      <c r="K1756" t="str">
        <f>IF(OR($I1756="Čaká na integráciu",$J1756="Integrácia"),"ÁNO","")</f>
        <v/>
      </c>
      <c r="L1756" t="str">
        <f>IF(OR($I1756="Čaká na biznis",$J1756="Biznis",$J1756="Švédsky biznis"),"ÁNO","")</f>
        <v/>
      </c>
      <c r="N1756" s="2"/>
      <c r="O1756" s="3"/>
      <c r="Q1756"/>
      <c r="R1756" s="3"/>
      <c r="S1756" s="3"/>
      <c r="T1756"/>
      <c r="U1756"/>
      <c r="V1756"/>
      <c r="W1756"/>
      <c r="Z1756"/>
      <c r="AA1756"/>
      <c r="AD1756"/>
    </row>
    <row r="1757" spans="11:30" ht="18" customHeight="1">
      <c r="K1757" t="str">
        <f>IF(OR($I1757="Čaká na integráciu",$J1757="Integrácia"),"ÁNO","")</f>
        <v/>
      </c>
      <c r="L1757" t="str">
        <f>IF(OR($I1757="Čaká na biznis",$J1757="Biznis",$J1757="Švédsky biznis"),"ÁNO","")</f>
        <v/>
      </c>
      <c r="N1757" s="2"/>
      <c r="O1757" s="3"/>
      <c r="Q1757"/>
      <c r="R1757" s="3"/>
      <c r="S1757" s="3"/>
      <c r="T1757"/>
      <c r="U1757"/>
      <c r="V1757"/>
      <c r="W1757"/>
      <c r="Z1757"/>
      <c r="AA1757"/>
      <c r="AD1757"/>
    </row>
    <row r="1758" spans="11:30" ht="18" customHeight="1">
      <c r="K1758" t="str">
        <f>IF(OR($I1758="Čaká na integráciu",$J1758="Integrácia"),"ÁNO","")</f>
        <v/>
      </c>
      <c r="L1758" t="str">
        <f>IF(OR($I1758="Čaká na biznis",$J1758="Biznis",$J1758="Švédsky biznis"),"ÁNO","")</f>
        <v/>
      </c>
      <c r="N1758" s="2"/>
      <c r="O1758" s="3"/>
      <c r="Q1758"/>
      <c r="R1758" s="3"/>
      <c r="S1758" s="3"/>
      <c r="T1758"/>
      <c r="U1758"/>
      <c r="V1758"/>
      <c r="W1758"/>
      <c r="Z1758"/>
      <c r="AA1758"/>
      <c r="AD1758"/>
    </row>
    <row r="1759" spans="11:30" ht="18" customHeight="1">
      <c r="K1759" t="str">
        <f>IF(OR($I1759="Čaká na integráciu",$J1759="Integrácia"),"ÁNO","")</f>
        <v/>
      </c>
      <c r="L1759" t="str">
        <f>IF(OR($I1759="Čaká na biznis",$J1759="Biznis",$J1759="Švédsky biznis"),"ÁNO","")</f>
        <v/>
      </c>
      <c r="N1759" s="2"/>
      <c r="O1759" s="3"/>
      <c r="Q1759"/>
      <c r="R1759" s="3"/>
      <c r="S1759" s="3"/>
      <c r="T1759"/>
      <c r="U1759"/>
      <c r="V1759"/>
      <c r="W1759"/>
      <c r="Z1759"/>
      <c r="AA1759"/>
      <c r="AD1759"/>
    </row>
    <row r="1760" spans="11:30" ht="18" customHeight="1">
      <c r="K1760" t="str">
        <f>IF(OR($I1760="Čaká na integráciu",$J1760="Integrácia"),"ÁNO","")</f>
        <v/>
      </c>
      <c r="L1760" t="str">
        <f>IF(OR($I1760="Čaká na biznis",$J1760="Biznis",$J1760="Švédsky biznis"),"ÁNO","")</f>
        <v/>
      </c>
      <c r="N1760" s="2"/>
      <c r="O1760" s="3"/>
      <c r="Q1760"/>
      <c r="R1760" s="3"/>
      <c r="S1760" s="3"/>
      <c r="T1760"/>
      <c r="U1760"/>
      <c r="V1760"/>
      <c r="W1760"/>
      <c r="Z1760"/>
      <c r="AA1760"/>
      <c r="AD1760"/>
    </row>
    <row r="1761" spans="11:30" ht="18" customHeight="1">
      <c r="K1761" t="str">
        <f>IF(OR($I1761="Čaká na integráciu",$J1761="Integrácia"),"ÁNO","")</f>
        <v/>
      </c>
      <c r="L1761" t="str">
        <f>IF(OR($I1761="Čaká na biznis",$J1761="Biznis",$J1761="Švédsky biznis"),"ÁNO","")</f>
        <v/>
      </c>
      <c r="N1761" s="2"/>
      <c r="O1761" s="3"/>
      <c r="Q1761"/>
      <c r="R1761" s="3"/>
      <c r="S1761" s="3"/>
      <c r="T1761"/>
      <c r="U1761"/>
      <c r="V1761"/>
      <c r="W1761"/>
      <c r="Z1761"/>
      <c r="AA1761"/>
      <c r="AD1761"/>
    </row>
    <row r="1762" spans="11:30" ht="18" customHeight="1">
      <c r="K1762" t="str">
        <f>IF(OR($I1762="Čaká na integráciu",$J1762="Integrácia"),"ÁNO","")</f>
        <v/>
      </c>
      <c r="L1762" t="str">
        <f>IF(OR($I1762="Čaká na biznis",$J1762="Biznis",$J1762="Švédsky biznis"),"ÁNO","")</f>
        <v/>
      </c>
      <c r="N1762" s="2"/>
      <c r="O1762" s="3"/>
      <c r="Q1762"/>
      <c r="R1762" s="3"/>
      <c r="S1762" s="3"/>
      <c r="T1762"/>
      <c r="U1762"/>
      <c r="V1762"/>
      <c r="W1762"/>
      <c r="Z1762"/>
      <c r="AA1762"/>
      <c r="AD1762"/>
    </row>
    <row r="1763" spans="11:30" ht="18" customHeight="1">
      <c r="K1763" t="str">
        <f>IF(OR($I1763="Čaká na integráciu",$J1763="Integrácia"),"ÁNO","")</f>
        <v/>
      </c>
      <c r="L1763" t="str">
        <f>IF(OR($I1763="Čaká na biznis",$J1763="Biznis",$J1763="Švédsky biznis"),"ÁNO","")</f>
        <v/>
      </c>
      <c r="N1763" s="2"/>
      <c r="O1763" s="3"/>
      <c r="Q1763"/>
      <c r="R1763" s="3"/>
      <c r="S1763" s="3"/>
      <c r="T1763"/>
      <c r="U1763"/>
      <c r="V1763"/>
      <c r="W1763"/>
      <c r="Z1763"/>
      <c r="AA1763"/>
      <c r="AD1763"/>
    </row>
    <row r="1764" spans="11:30" ht="18" customHeight="1">
      <c r="K1764" t="str">
        <f>IF(OR($I1764="Čaká na integráciu",$J1764="Integrácia"),"ÁNO","")</f>
        <v/>
      </c>
      <c r="L1764" t="str">
        <f>IF(OR($I1764="Čaká na biznis",$J1764="Biznis",$J1764="Švédsky biznis"),"ÁNO","")</f>
        <v/>
      </c>
      <c r="N1764" s="2"/>
      <c r="O1764" s="3"/>
      <c r="Q1764"/>
      <c r="R1764" s="3"/>
      <c r="S1764" s="3"/>
      <c r="T1764"/>
      <c r="U1764"/>
      <c r="V1764"/>
      <c r="W1764"/>
      <c r="Z1764"/>
      <c r="AA1764"/>
      <c r="AD1764"/>
    </row>
    <row r="1765" spans="11:30" ht="18" customHeight="1">
      <c r="K1765" t="str">
        <f>IF(OR($I1765="Čaká na integráciu",$J1765="Integrácia"),"ÁNO","")</f>
        <v/>
      </c>
      <c r="L1765" t="str">
        <f>IF(OR($I1765="Čaká na biznis",$J1765="Biznis",$J1765="Švédsky biznis"),"ÁNO","")</f>
        <v/>
      </c>
      <c r="N1765" s="2"/>
      <c r="O1765" s="3"/>
      <c r="Q1765"/>
      <c r="R1765" s="3"/>
      <c r="S1765" s="3"/>
      <c r="T1765"/>
      <c r="U1765"/>
      <c r="V1765"/>
      <c r="W1765"/>
      <c r="Z1765"/>
      <c r="AA1765"/>
      <c r="AD1765"/>
    </row>
    <row r="1766" spans="11:30" ht="18" customHeight="1">
      <c r="K1766" t="str">
        <f>IF(OR($I1766="Čaká na integráciu",$J1766="Integrácia"),"ÁNO","")</f>
        <v/>
      </c>
      <c r="L1766" t="str">
        <f>IF(OR($I1766="Čaká na biznis",$J1766="Biznis",$J1766="Švédsky biznis"),"ÁNO","")</f>
        <v/>
      </c>
      <c r="N1766" s="2"/>
      <c r="O1766" s="3"/>
      <c r="Q1766"/>
      <c r="R1766" s="3"/>
      <c r="S1766" s="3"/>
      <c r="T1766"/>
      <c r="U1766"/>
      <c r="V1766"/>
      <c r="W1766"/>
      <c r="Z1766"/>
      <c r="AA1766"/>
      <c r="AD1766"/>
    </row>
    <row r="1767" spans="11:30" ht="18" customHeight="1">
      <c r="K1767" t="str">
        <f>IF(OR($I1767="Čaká na integráciu",$J1767="Integrácia"),"ÁNO","")</f>
        <v/>
      </c>
      <c r="L1767" t="str">
        <f>IF(OR($I1767="Čaká na biznis",$J1767="Biznis",$J1767="Švédsky biznis"),"ÁNO","")</f>
        <v/>
      </c>
      <c r="N1767" s="2"/>
      <c r="O1767" s="3"/>
      <c r="Q1767"/>
      <c r="R1767" s="3"/>
      <c r="S1767" s="3"/>
      <c r="T1767"/>
      <c r="U1767"/>
      <c r="V1767"/>
      <c r="W1767"/>
      <c r="Z1767"/>
      <c r="AA1767"/>
      <c r="AD1767"/>
    </row>
    <row r="1768" spans="11:30" ht="18" customHeight="1">
      <c r="K1768" t="str">
        <f>IF(OR($I1768="Čaká na integráciu",$J1768="Integrácia"),"ÁNO","")</f>
        <v/>
      </c>
      <c r="L1768" t="str">
        <f>IF(OR($I1768="Čaká na biznis",$J1768="Biznis",$J1768="Švédsky biznis"),"ÁNO","")</f>
        <v/>
      </c>
      <c r="N1768" s="2"/>
      <c r="O1768" s="3"/>
      <c r="Q1768"/>
      <c r="R1768" s="3"/>
      <c r="S1768" s="3"/>
      <c r="T1768"/>
      <c r="U1768"/>
      <c r="V1768"/>
      <c r="W1768"/>
      <c r="Z1768"/>
      <c r="AA1768"/>
      <c r="AD1768"/>
    </row>
    <row r="1769" spans="11:30" ht="18" customHeight="1">
      <c r="K1769" t="str">
        <f>IF(OR($I1769="Čaká na integráciu",$J1769="Integrácia"),"ÁNO","")</f>
        <v/>
      </c>
      <c r="L1769" t="str">
        <f>IF(OR($I1769="Čaká na biznis",$J1769="Biznis",$J1769="Švédsky biznis"),"ÁNO","")</f>
        <v/>
      </c>
      <c r="N1769" s="2"/>
      <c r="O1769" s="3"/>
      <c r="Q1769"/>
      <c r="R1769" s="3"/>
      <c r="S1769" s="3"/>
      <c r="T1769"/>
      <c r="U1769"/>
      <c r="V1769"/>
      <c r="W1769"/>
      <c r="Z1769"/>
      <c r="AA1769"/>
      <c r="AD1769"/>
    </row>
    <row r="1770" spans="11:30" ht="18" customHeight="1">
      <c r="K1770" t="str">
        <f>IF(OR($I1770="Čaká na integráciu",$J1770="Integrácia"),"ÁNO","")</f>
        <v/>
      </c>
      <c r="L1770" t="str">
        <f>IF(OR($I1770="Čaká na biznis",$J1770="Biznis",$J1770="Švédsky biznis"),"ÁNO","")</f>
        <v/>
      </c>
      <c r="N1770" s="2"/>
      <c r="O1770" s="3"/>
      <c r="Q1770"/>
      <c r="R1770" s="3"/>
      <c r="S1770" s="3"/>
      <c r="T1770"/>
      <c r="U1770"/>
      <c r="V1770"/>
      <c r="W1770"/>
      <c r="Z1770"/>
      <c r="AA1770"/>
      <c r="AD1770"/>
    </row>
    <row r="1771" spans="11:30" ht="18" customHeight="1">
      <c r="K1771" t="str">
        <f>IF(OR($I1771="Čaká na integráciu",$J1771="Integrácia"),"ÁNO","")</f>
        <v/>
      </c>
      <c r="L1771" t="str">
        <f>IF(OR($I1771="Čaká na biznis",$J1771="Biznis",$J1771="Švédsky biznis"),"ÁNO","")</f>
        <v/>
      </c>
      <c r="N1771" s="2"/>
      <c r="O1771" s="3"/>
      <c r="Q1771"/>
      <c r="R1771" s="3"/>
      <c r="S1771" s="3"/>
      <c r="T1771"/>
      <c r="U1771"/>
      <c r="V1771"/>
      <c r="W1771"/>
      <c r="Z1771"/>
      <c r="AA1771"/>
      <c r="AD1771"/>
    </row>
    <row r="1772" spans="11:30" ht="18" customHeight="1">
      <c r="K1772" t="str">
        <f>IF(OR($I1772="Čaká na integráciu",$J1772="Integrácia"),"ÁNO","")</f>
        <v/>
      </c>
      <c r="L1772" t="str">
        <f>IF(OR($I1772="Čaká na biznis",$J1772="Biznis",$J1772="Švédsky biznis"),"ÁNO","")</f>
        <v/>
      </c>
      <c r="N1772" s="2"/>
      <c r="O1772" s="3"/>
      <c r="Q1772"/>
      <c r="R1772" s="3"/>
      <c r="S1772" s="3"/>
      <c r="T1772"/>
      <c r="U1772"/>
      <c r="V1772"/>
      <c r="W1772"/>
      <c r="Z1772"/>
      <c r="AA1772"/>
      <c r="AD1772"/>
    </row>
    <row r="1773" spans="11:30" ht="18" customHeight="1">
      <c r="K1773" t="str">
        <f>IF(OR($I1773="Čaká na integráciu",$J1773="Integrácia"),"ÁNO","")</f>
        <v/>
      </c>
      <c r="L1773" t="str">
        <f>IF(OR($I1773="Čaká na biznis",$J1773="Biznis",$J1773="Švédsky biznis"),"ÁNO","")</f>
        <v/>
      </c>
      <c r="N1773" s="2"/>
      <c r="O1773" s="3"/>
      <c r="Q1773"/>
      <c r="R1773" s="3"/>
      <c r="S1773" s="3"/>
      <c r="T1773"/>
      <c r="U1773"/>
      <c r="V1773"/>
      <c r="W1773"/>
      <c r="Z1773"/>
      <c r="AA1773"/>
      <c r="AD1773"/>
    </row>
    <row r="1774" spans="11:30" ht="18" customHeight="1">
      <c r="K1774" t="str">
        <f>IF(OR($I1774="Čaká na integráciu",$J1774="Integrácia"),"ÁNO","")</f>
        <v/>
      </c>
      <c r="L1774" t="str">
        <f>IF(OR($I1774="Čaká na biznis",$J1774="Biznis",$J1774="Švédsky biznis"),"ÁNO","")</f>
        <v/>
      </c>
      <c r="N1774" s="2"/>
      <c r="O1774" s="3"/>
      <c r="Q1774"/>
      <c r="R1774" s="3"/>
      <c r="S1774" s="3"/>
      <c r="T1774"/>
      <c r="U1774"/>
      <c r="V1774"/>
      <c r="W1774"/>
      <c r="Z1774"/>
      <c r="AA1774"/>
      <c r="AD1774"/>
    </row>
    <row r="1775" spans="11:30" ht="18" customHeight="1">
      <c r="K1775" t="str">
        <f>IF(OR($I1775="Čaká na integráciu",$J1775="Integrácia"),"ÁNO","")</f>
        <v/>
      </c>
      <c r="L1775" t="str">
        <f>IF(OR($I1775="Čaká na biznis",$J1775="Biznis",$J1775="Švédsky biznis"),"ÁNO","")</f>
        <v/>
      </c>
      <c r="N1775" s="2"/>
      <c r="O1775" s="3"/>
      <c r="Q1775"/>
      <c r="R1775" s="3"/>
      <c r="S1775" s="3"/>
      <c r="T1775"/>
      <c r="U1775"/>
      <c r="V1775"/>
      <c r="W1775"/>
      <c r="Z1775"/>
      <c r="AA1775"/>
      <c r="AD1775"/>
    </row>
    <row r="1776" spans="11:30" ht="18" customHeight="1">
      <c r="K1776" t="str">
        <f>IF(OR($I1776="Čaká na integráciu",$J1776="Integrácia"),"ÁNO","")</f>
        <v/>
      </c>
      <c r="L1776" t="str">
        <f>IF(OR($I1776="Čaká na biznis",$J1776="Biznis",$J1776="Švédsky biznis"),"ÁNO","")</f>
        <v/>
      </c>
      <c r="N1776" s="2"/>
      <c r="O1776" s="3"/>
      <c r="Q1776"/>
      <c r="R1776" s="3"/>
      <c r="S1776" s="3"/>
      <c r="T1776"/>
      <c r="U1776"/>
      <c r="V1776"/>
      <c r="W1776"/>
      <c r="Z1776"/>
      <c r="AA1776"/>
      <c r="AD1776"/>
    </row>
    <row r="1777" spans="11:30" ht="18" customHeight="1">
      <c r="K1777" t="str">
        <f>IF(OR($I1777="Čaká na integráciu",$J1777="Integrácia"),"ÁNO","")</f>
        <v/>
      </c>
      <c r="L1777" t="str">
        <f>IF(OR($I1777="Čaká na biznis",$J1777="Biznis",$J1777="Švédsky biznis"),"ÁNO","")</f>
        <v/>
      </c>
      <c r="N1777" s="2"/>
      <c r="O1777" s="3"/>
      <c r="Q1777"/>
      <c r="R1777" s="3"/>
      <c r="S1777" s="3"/>
      <c r="T1777"/>
      <c r="U1777"/>
      <c r="V1777"/>
      <c r="W1777"/>
      <c r="Z1777"/>
      <c r="AA1777"/>
      <c r="AD1777"/>
    </row>
    <row r="1778" spans="11:30" ht="18" customHeight="1">
      <c r="K1778" t="str">
        <f>IF(OR($I1778="Čaká na integráciu",$J1778="Integrácia"),"ÁNO","")</f>
        <v/>
      </c>
      <c r="L1778" t="str">
        <f>IF(OR($I1778="Čaká na biznis",$J1778="Biznis",$J1778="Švédsky biznis"),"ÁNO","")</f>
        <v/>
      </c>
      <c r="N1778" s="2"/>
      <c r="O1778" s="3"/>
      <c r="Q1778"/>
      <c r="R1778" s="3"/>
      <c r="S1778" s="3"/>
      <c r="T1778"/>
      <c r="U1778"/>
      <c r="V1778"/>
      <c r="W1778"/>
      <c r="Z1778"/>
      <c r="AA1778"/>
      <c r="AD1778"/>
    </row>
    <row r="1779" spans="11:30" ht="18" customHeight="1">
      <c r="K1779" t="str">
        <f>IF(OR($I1779="Čaká na integráciu",$J1779="Integrácia"),"ÁNO","")</f>
        <v/>
      </c>
      <c r="L1779" t="str">
        <f>IF(OR($I1779="Čaká na biznis",$J1779="Biznis",$J1779="Švédsky biznis"),"ÁNO","")</f>
        <v/>
      </c>
      <c r="N1779" s="2"/>
      <c r="O1779" s="3"/>
      <c r="Q1779"/>
      <c r="R1779" s="3"/>
      <c r="S1779" s="3"/>
      <c r="T1779"/>
      <c r="U1779"/>
      <c r="V1779"/>
      <c r="W1779"/>
      <c r="Z1779"/>
      <c r="AA1779"/>
      <c r="AD1779"/>
    </row>
    <row r="1780" spans="11:30" ht="18" customHeight="1">
      <c r="K1780" t="str">
        <f>IF(OR($I1780="Čaká na integráciu",$J1780="Integrácia"),"ÁNO","")</f>
        <v/>
      </c>
      <c r="L1780" t="str">
        <f>IF(OR($I1780="Čaká na biznis",$J1780="Biznis",$J1780="Švédsky biznis"),"ÁNO","")</f>
        <v/>
      </c>
      <c r="N1780" s="2"/>
      <c r="O1780" s="3"/>
      <c r="Q1780"/>
      <c r="R1780" s="3"/>
      <c r="S1780" s="3"/>
      <c r="T1780"/>
      <c r="U1780"/>
      <c r="V1780"/>
      <c r="W1780"/>
      <c r="Z1780"/>
      <c r="AA1780"/>
      <c r="AD1780"/>
    </row>
    <row r="1781" spans="11:30" ht="18" customHeight="1">
      <c r="K1781" t="str">
        <f>IF(OR($I1781="Čaká na integráciu",$J1781="Integrácia"),"ÁNO","")</f>
        <v/>
      </c>
      <c r="L1781" t="str">
        <f>IF(OR($I1781="Čaká na biznis",$J1781="Biznis",$J1781="Švédsky biznis"),"ÁNO","")</f>
        <v/>
      </c>
      <c r="N1781" s="2"/>
      <c r="O1781" s="3"/>
      <c r="Q1781"/>
      <c r="R1781" s="3"/>
      <c r="S1781" s="3"/>
      <c r="T1781"/>
      <c r="U1781"/>
      <c r="V1781"/>
      <c r="W1781"/>
      <c r="Z1781"/>
      <c r="AA1781"/>
      <c r="AD1781"/>
    </row>
    <row r="1782" spans="11:30" ht="18" customHeight="1">
      <c r="K1782" t="str">
        <f>IF(OR($I1782="Čaká na integráciu",$J1782="Integrácia"),"ÁNO","")</f>
        <v/>
      </c>
      <c r="L1782" t="str">
        <f>IF(OR($I1782="Čaká na biznis",$J1782="Biznis",$J1782="Švédsky biznis"),"ÁNO","")</f>
        <v/>
      </c>
      <c r="N1782" s="2"/>
      <c r="O1782" s="3"/>
      <c r="Q1782"/>
      <c r="R1782" s="3"/>
      <c r="S1782" s="3"/>
      <c r="T1782"/>
      <c r="U1782"/>
      <c r="V1782"/>
      <c r="W1782"/>
      <c r="Z1782"/>
      <c r="AA1782"/>
      <c r="AD1782"/>
    </row>
    <row r="1783" spans="11:30" ht="18" customHeight="1">
      <c r="K1783" t="str">
        <f>IF(OR($I1783="Čaká na integráciu",$J1783="Integrácia"),"ÁNO","")</f>
        <v/>
      </c>
      <c r="L1783" t="str">
        <f>IF(OR($I1783="Čaká na biznis",$J1783="Biznis",$J1783="Švédsky biznis"),"ÁNO","")</f>
        <v/>
      </c>
      <c r="N1783" s="2"/>
      <c r="O1783" s="3"/>
      <c r="Q1783"/>
      <c r="R1783" s="3"/>
      <c r="S1783" s="3"/>
      <c r="T1783"/>
      <c r="U1783"/>
      <c r="V1783"/>
      <c r="W1783"/>
      <c r="Z1783"/>
      <c r="AA1783"/>
      <c r="AD1783"/>
    </row>
    <row r="1784" spans="11:30" ht="18" customHeight="1">
      <c r="K1784" t="str">
        <f>IF(OR($I1784="Čaká na integráciu",$J1784="Integrácia"),"ÁNO","")</f>
        <v/>
      </c>
      <c r="L1784" t="str">
        <f>IF(OR($I1784="Čaká na biznis",$J1784="Biznis",$J1784="Švédsky biznis"),"ÁNO","")</f>
        <v/>
      </c>
      <c r="N1784" s="2"/>
      <c r="O1784" s="3"/>
      <c r="Q1784"/>
      <c r="R1784" s="3"/>
      <c r="S1784" s="3"/>
      <c r="T1784"/>
      <c r="U1784"/>
      <c r="V1784"/>
      <c r="W1784"/>
      <c r="Z1784"/>
      <c r="AA1784"/>
      <c r="AD1784"/>
    </row>
    <row r="1785" spans="11:30" ht="18" customHeight="1">
      <c r="K1785" t="str">
        <f>IF(OR($I1785="Čaká na integráciu",$J1785="Integrácia"),"ÁNO","")</f>
        <v/>
      </c>
      <c r="L1785" t="str">
        <f>IF(OR($I1785="Čaká na biznis",$J1785="Biznis",$J1785="Švédsky biznis"),"ÁNO","")</f>
        <v/>
      </c>
      <c r="N1785" s="2"/>
      <c r="O1785" s="3"/>
      <c r="Q1785"/>
      <c r="R1785" s="3"/>
      <c r="S1785" s="3"/>
      <c r="T1785"/>
      <c r="U1785"/>
      <c r="V1785"/>
      <c r="W1785"/>
      <c r="Z1785"/>
      <c r="AA1785"/>
      <c r="AD1785"/>
    </row>
    <row r="1786" spans="11:30" ht="18" customHeight="1">
      <c r="K1786" t="str">
        <f>IF(OR($I1786="Čaká na integráciu",$J1786="Integrácia"),"ÁNO","")</f>
        <v/>
      </c>
      <c r="L1786" t="str">
        <f>IF(OR($I1786="Čaká na biznis",$J1786="Biznis",$J1786="Švédsky biznis"),"ÁNO","")</f>
        <v/>
      </c>
      <c r="N1786" s="2"/>
      <c r="O1786" s="3"/>
      <c r="Q1786"/>
      <c r="R1786" s="3"/>
      <c r="S1786" s="3"/>
      <c r="T1786"/>
      <c r="U1786"/>
      <c r="V1786"/>
      <c r="W1786"/>
      <c r="Z1786"/>
      <c r="AA1786"/>
      <c r="AD1786"/>
    </row>
    <row r="1787" spans="11:30" ht="18" customHeight="1">
      <c r="K1787" t="str">
        <f>IF(OR($I1787="Čaká na integráciu",$J1787="Integrácia"),"ÁNO","")</f>
        <v/>
      </c>
      <c r="L1787" t="str">
        <f>IF(OR($I1787="Čaká na biznis",$J1787="Biznis",$J1787="Švédsky biznis"),"ÁNO","")</f>
        <v/>
      </c>
      <c r="N1787" s="2"/>
      <c r="O1787" s="3"/>
      <c r="Q1787"/>
      <c r="R1787" s="3"/>
      <c r="S1787" s="3"/>
      <c r="T1787"/>
      <c r="U1787"/>
      <c r="V1787"/>
      <c r="W1787"/>
      <c r="Z1787"/>
      <c r="AA1787"/>
      <c r="AD1787"/>
    </row>
    <row r="1788" spans="11:30" ht="18" customHeight="1">
      <c r="K1788" t="str">
        <f>IF(OR($I1788="Čaká na integráciu",$J1788="Integrácia"),"ÁNO","")</f>
        <v/>
      </c>
      <c r="L1788" t="str">
        <f>IF(OR($I1788="Čaká na biznis",$J1788="Biznis",$J1788="Švédsky biznis"),"ÁNO","")</f>
        <v/>
      </c>
      <c r="N1788" s="2"/>
      <c r="O1788" s="3"/>
      <c r="Q1788"/>
      <c r="R1788" s="3"/>
      <c r="S1788" s="3"/>
      <c r="T1788"/>
      <c r="U1788"/>
      <c r="V1788"/>
      <c r="W1788"/>
      <c r="Z1788"/>
      <c r="AA1788"/>
      <c r="AD1788"/>
    </row>
    <row r="1789" spans="11:30" ht="18" customHeight="1">
      <c r="K1789" t="str">
        <f>IF(OR($I1789="Čaká na integráciu",$J1789="Integrácia"),"ÁNO","")</f>
        <v/>
      </c>
      <c r="L1789" t="str">
        <f>IF(OR($I1789="Čaká na biznis",$J1789="Biznis",$J1789="Švédsky biznis"),"ÁNO","")</f>
        <v/>
      </c>
      <c r="N1789" s="2"/>
      <c r="O1789" s="3"/>
      <c r="Q1789"/>
      <c r="R1789" s="3"/>
      <c r="S1789" s="3"/>
      <c r="T1789"/>
      <c r="U1789"/>
      <c r="V1789"/>
      <c r="W1789"/>
      <c r="Z1789"/>
      <c r="AA1789"/>
      <c r="AD1789"/>
    </row>
    <row r="1790" spans="11:30" ht="18" customHeight="1">
      <c r="K1790" t="str">
        <f>IF(OR($I1790="Čaká na integráciu",$J1790="Integrácia"),"ÁNO","")</f>
        <v/>
      </c>
      <c r="L1790" t="str">
        <f>IF(OR($I1790="Čaká na biznis",$J1790="Biznis",$J1790="Švédsky biznis"),"ÁNO","")</f>
        <v/>
      </c>
      <c r="N1790" s="2"/>
      <c r="O1790" s="3"/>
      <c r="Q1790"/>
      <c r="R1790" s="3"/>
      <c r="S1790" s="3"/>
      <c r="T1790"/>
      <c r="U1790"/>
      <c r="V1790"/>
      <c r="W1790"/>
      <c r="Z1790"/>
      <c r="AA1790"/>
      <c r="AD1790"/>
    </row>
    <row r="1791" spans="11:30" ht="18" customHeight="1">
      <c r="K1791" t="str">
        <f>IF(OR($I1791="Čaká na integráciu",$J1791="Integrácia"),"ÁNO","")</f>
        <v/>
      </c>
      <c r="L1791" t="str">
        <f>IF(OR($I1791="Čaká na biznis",$J1791="Biznis",$J1791="Švédsky biznis"),"ÁNO","")</f>
        <v/>
      </c>
      <c r="N1791" s="2"/>
      <c r="O1791" s="3"/>
      <c r="Q1791"/>
      <c r="R1791" s="3"/>
      <c r="S1791" s="3"/>
      <c r="T1791"/>
      <c r="U1791"/>
      <c r="V1791"/>
      <c r="W1791"/>
      <c r="Z1791"/>
      <c r="AA1791"/>
      <c r="AD1791"/>
    </row>
    <row r="1792" spans="11:30" ht="18" customHeight="1">
      <c r="K1792" t="str">
        <f>IF(OR($I1792="Čaká na integráciu",$J1792="Integrácia"),"ÁNO","")</f>
        <v/>
      </c>
      <c r="L1792" t="str">
        <f>IF(OR($I1792="Čaká na biznis",$J1792="Biznis",$J1792="Švédsky biznis"),"ÁNO","")</f>
        <v/>
      </c>
      <c r="N1792" s="2"/>
      <c r="O1792" s="3"/>
      <c r="Q1792"/>
      <c r="R1792" s="3"/>
      <c r="S1792" s="3"/>
      <c r="T1792"/>
      <c r="U1792"/>
      <c r="V1792"/>
      <c r="W1792"/>
      <c r="Z1792"/>
      <c r="AA1792"/>
      <c r="AD1792"/>
    </row>
    <row r="1793" spans="11:30" ht="18" customHeight="1">
      <c r="K1793" t="str">
        <f>IF(OR($I1793="Čaká na integráciu",$J1793="Integrácia"),"ÁNO","")</f>
        <v/>
      </c>
      <c r="L1793" t="str">
        <f>IF(OR($I1793="Čaká na biznis",$J1793="Biznis",$J1793="Švédsky biznis"),"ÁNO","")</f>
        <v/>
      </c>
      <c r="N1793" s="2"/>
      <c r="O1793" s="3"/>
      <c r="Q1793"/>
      <c r="R1793" s="3"/>
      <c r="S1793" s="3"/>
      <c r="T1793"/>
      <c r="U1793"/>
      <c r="V1793"/>
      <c r="W1793"/>
      <c r="Z1793"/>
      <c r="AA1793"/>
      <c r="AD1793"/>
    </row>
    <row r="1794" spans="11:30" ht="18" customHeight="1">
      <c r="K1794" t="str">
        <f>IF(OR($I1794="Čaká na integráciu",$J1794="Integrácia"),"ÁNO","")</f>
        <v/>
      </c>
      <c r="L1794" t="str">
        <f>IF(OR($I1794="Čaká na biznis",$J1794="Biznis",$J1794="Švédsky biznis"),"ÁNO","")</f>
        <v/>
      </c>
      <c r="N1794" s="2"/>
      <c r="O1794" s="3"/>
      <c r="Q1794"/>
      <c r="R1794" s="3"/>
      <c r="S1794" s="3"/>
      <c r="T1794"/>
      <c r="U1794"/>
      <c r="V1794"/>
      <c r="W1794"/>
      <c r="Z1794"/>
      <c r="AA1794"/>
      <c r="AD1794"/>
    </row>
    <row r="1795" spans="11:30" ht="18" customHeight="1">
      <c r="K1795" t="str">
        <f>IF(OR($I1795="Čaká na integráciu",$J1795="Integrácia"),"ÁNO","")</f>
        <v/>
      </c>
      <c r="L1795" t="str">
        <f>IF(OR($I1795="Čaká na biznis",$J1795="Biznis",$J1795="Švédsky biznis"),"ÁNO","")</f>
        <v/>
      </c>
      <c r="N1795" s="2"/>
      <c r="O1795" s="3"/>
      <c r="Q1795"/>
      <c r="R1795" s="3"/>
      <c r="S1795" s="3"/>
      <c r="T1795"/>
      <c r="U1795"/>
      <c r="V1795"/>
      <c r="W1795"/>
      <c r="Z1795"/>
      <c r="AA1795"/>
      <c r="AD1795"/>
    </row>
    <row r="1796" spans="11:30" ht="18" customHeight="1">
      <c r="K1796" t="str">
        <f>IF(OR($I1796="Čaká na integráciu",$J1796="Integrácia"),"ÁNO","")</f>
        <v/>
      </c>
      <c r="L1796" t="str">
        <f>IF(OR($I1796="Čaká na biznis",$J1796="Biznis",$J1796="Švédsky biznis"),"ÁNO","")</f>
        <v/>
      </c>
      <c r="N1796" s="2"/>
      <c r="O1796" s="3"/>
      <c r="Q1796"/>
      <c r="R1796" s="3"/>
      <c r="S1796" s="3"/>
      <c r="T1796"/>
      <c r="U1796"/>
      <c r="V1796"/>
      <c r="W1796"/>
      <c r="Z1796"/>
      <c r="AA1796"/>
      <c r="AD1796"/>
    </row>
    <row r="1797" spans="11:30" ht="18" customHeight="1">
      <c r="K1797" t="str">
        <f>IF(OR($I1797="Čaká na integráciu",$J1797="Integrácia"),"ÁNO","")</f>
        <v/>
      </c>
      <c r="L1797" t="str">
        <f>IF(OR($I1797="Čaká na biznis",$J1797="Biznis",$J1797="Švédsky biznis"),"ÁNO","")</f>
        <v/>
      </c>
      <c r="N1797" s="2"/>
      <c r="O1797" s="3"/>
      <c r="Q1797"/>
      <c r="R1797" s="3"/>
      <c r="S1797" s="3"/>
      <c r="T1797"/>
      <c r="U1797"/>
      <c r="V1797"/>
      <c r="W1797"/>
      <c r="Z1797"/>
      <c r="AA1797"/>
      <c r="AD1797"/>
    </row>
    <row r="1798" spans="11:30" ht="18" customHeight="1">
      <c r="K1798" t="str">
        <f>IF(OR($I1798="Čaká na integráciu",$J1798="Integrácia"),"ÁNO","")</f>
        <v/>
      </c>
      <c r="L1798" t="str">
        <f>IF(OR($I1798="Čaká na biznis",$J1798="Biznis",$J1798="Švédsky biznis"),"ÁNO","")</f>
        <v/>
      </c>
      <c r="N1798" s="2"/>
      <c r="O1798" s="3"/>
      <c r="Q1798"/>
      <c r="R1798" s="3"/>
      <c r="S1798" s="3"/>
      <c r="T1798"/>
      <c r="U1798"/>
      <c r="V1798"/>
      <c r="W1798"/>
      <c r="Z1798"/>
      <c r="AA1798"/>
      <c r="AD1798"/>
    </row>
    <row r="1799" spans="11:30" ht="18" customHeight="1">
      <c r="K1799" t="str">
        <f>IF(OR($I1799="Čaká na integráciu",$J1799="Integrácia"),"ÁNO","")</f>
        <v/>
      </c>
      <c r="L1799" t="str">
        <f>IF(OR($I1799="Čaká na biznis",$J1799="Biznis",$J1799="Švédsky biznis"),"ÁNO","")</f>
        <v/>
      </c>
      <c r="N1799" s="2"/>
      <c r="O1799" s="3"/>
      <c r="Q1799"/>
      <c r="R1799" s="3"/>
      <c r="S1799" s="3"/>
      <c r="T1799"/>
      <c r="U1799"/>
      <c r="V1799"/>
      <c r="W1799"/>
      <c r="Z1799"/>
      <c r="AA1799"/>
      <c r="AD1799"/>
    </row>
    <row r="1800" spans="11:30" ht="18" customHeight="1">
      <c r="K1800" t="str">
        <f>IF(OR($I1800="Čaká na integráciu",$J1800="Integrácia"),"ÁNO","")</f>
        <v/>
      </c>
      <c r="L1800" t="str">
        <f>IF(OR($I1800="Čaká na biznis",$J1800="Biznis",$J1800="Švédsky biznis"),"ÁNO","")</f>
        <v/>
      </c>
      <c r="N1800" s="2"/>
      <c r="O1800" s="3"/>
      <c r="Q1800"/>
      <c r="R1800" s="3"/>
      <c r="S1800" s="3"/>
      <c r="T1800"/>
      <c r="U1800"/>
      <c r="V1800"/>
      <c r="W1800"/>
      <c r="Z1800"/>
      <c r="AA1800"/>
      <c r="AD1800"/>
    </row>
    <row r="1801" spans="11:30" ht="18" customHeight="1">
      <c r="K1801" t="str">
        <f>IF(OR($I1801="Čaká na integráciu",$J1801="Integrácia"),"ÁNO","")</f>
        <v/>
      </c>
      <c r="L1801" t="str">
        <f>IF(OR($I1801="Čaká na biznis",$J1801="Biznis",$J1801="Švédsky biznis"),"ÁNO","")</f>
        <v/>
      </c>
      <c r="N1801" s="2"/>
      <c r="O1801" s="3"/>
      <c r="Q1801"/>
      <c r="R1801" s="3"/>
      <c r="S1801" s="3"/>
      <c r="T1801"/>
      <c r="U1801"/>
      <c r="V1801"/>
      <c r="W1801"/>
      <c r="Z1801"/>
      <c r="AA1801"/>
      <c r="AD1801"/>
    </row>
    <row r="1802" spans="11:30" ht="18" customHeight="1">
      <c r="K1802" t="str">
        <f>IF(OR($I1802="Čaká na integráciu",$J1802="Integrácia"),"ÁNO","")</f>
        <v/>
      </c>
      <c r="L1802" t="str">
        <f>IF(OR($I1802="Čaká na biznis",$J1802="Biznis",$J1802="Švédsky biznis"),"ÁNO","")</f>
        <v/>
      </c>
      <c r="N1802" s="2"/>
      <c r="O1802" s="3"/>
      <c r="Q1802"/>
      <c r="R1802" s="3"/>
      <c r="S1802" s="3"/>
      <c r="T1802"/>
      <c r="U1802"/>
      <c r="V1802"/>
      <c r="W1802"/>
      <c r="Z1802"/>
      <c r="AA1802"/>
      <c r="AD1802"/>
    </row>
    <row r="1803" spans="11:30" ht="18" customHeight="1">
      <c r="K1803" t="str">
        <f>IF(OR($I1803="Čaká na integráciu",$J1803="Integrácia"),"ÁNO","")</f>
        <v/>
      </c>
      <c r="L1803" t="str">
        <f>IF(OR($I1803="Čaká na biznis",$J1803="Biznis",$J1803="Švédsky biznis"),"ÁNO","")</f>
        <v/>
      </c>
      <c r="N1803" s="2"/>
      <c r="O1803" s="3"/>
      <c r="Q1803"/>
      <c r="R1803" s="3"/>
      <c r="S1803" s="3"/>
      <c r="T1803"/>
      <c r="U1803"/>
      <c r="V1803"/>
      <c r="W1803"/>
      <c r="Z1803"/>
      <c r="AA1803"/>
      <c r="AD1803"/>
    </row>
    <row r="1804" spans="11:30" ht="18" customHeight="1">
      <c r="K1804" t="str">
        <f>IF(OR($I1804="Čaká na integráciu",$J1804="Integrácia"),"ÁNO","")</f>
        <v/>
      </c>
      <c r="L1804" t="str">
        <f>IF(OR($I1804="Čaká na biznis",$J1804="Biznis",$J1804="Švédsky biznis"),"ÁNO","")</f>
        <v/>
      </c>
      <c r="N1804" s="2"/>
      <c r="O1804" s="3"/>
      <c r="Q1804"/>
      <c r="R1804" s="3"/>
      <c r="S1804" s="3"/>
      <c r="T1804"/>
      <c r="U1804"/>
      <c r="V1804"/>
      <c r="W1804"/>
      <c r="Z1804"/>
      <c r="AA1804"/>
      <c r="AD1804"/>
    </row>
    <row r="1805" spans="11:30" ht="18" customHeight="1">
      <c r="K1805" t="str">
        <f>IF(OR($I1805="Čaká na integráciu",$J1805="Integrácia"),"ÁNO","")</f>
        <v/>
      </c>
      <c r="L1805" t="str">
        <f>IF(OR($I1805="Čaká na biznis",$J1805="Biznis",$J1805="Švédsky biznis"),"ÁNO","")</f>
        <v/>
      </c>
      <c r="N1805" s="2"/>
      <c r="O1805" s="3"/>
      <c r="Q1805"/>
      <c r="R1805" s="3"/>
      <c r="S1805" s="3"/>
      <c r="T1805"/>
      <c r="U1805"/>
      <c r="V1805"/>
      <c r="W1805"/>
      <c r="Z1805"/>
      <c r="AA1805"/>
      <c r="AD1805"/>
    </row>
    <row r="1806" spans="11:30" ht="18" customHeight="1">
      <c r="K1806" t="str">
        <f>IF(OR($I1806="Čaká na integráciu",$J1806="Integrácia"),"ÁNO","")</f>
        <v/>
      </c>
      <c r="L1806" t="str">
        <f>IF(OR($I1806="Čaká na biznis",$J1806="Biznis",$J1806="Švédsky biznis"),"ÁNO","")</f>
        <v/>
      </c>
      <c r="N1806" s="2"/>
      <c r="O1806" s="3"/>
      <c r="Q1806"/>
      <c r="R1806" s="3"/>
      <c r="S1806" s="3"/>
      <c r="T1806"/>
      <c r="U1806"/>
      <c r="V1806"/>
      <c r="W1806"/>
      <c r="Z1806"/>
      <c r="AA1806"/>
      <c r="AD1806"/>
    </row>
    <row r="1807" spans="11:30" ht="18" customHeight="1">
      <c r="K1807" t="str">
        <f>IF(OR($I1807="Čaká na integráciu",$J1807="Integrácia"),"ÁNO","")</f>
        <v/>
      </c>
      <c r="L1807" t="str">
        <f>IF(OR($I1807="Čaká na biznis",$J1807="Biznis",$J1807="Švédsky biznis"),"ÁNO","")</f>
        <v/>
      </c>
      <c r="N1807" s="2"/>
      <c r="O1807" s="3"/>
      <c r="Q1807"/>
      <c r="R1807" s="3"/>
      <c r="S1807" s="3"/>
      <c r="T1807"/>
      <c r="U1807"/>
      <c r="V1807"/>
      <c r="W1807"/>
      <c r="Z1807"/>
      <c r="AA1807"/>
      <c r="AD1807"/>
    </row>
    <row r="1808" spans="11:30" ht="18" customHeight="1">
      <c r="K1808" t="str">
        <f>IF(OR($I1808="Čaká na integráciu",$J1808="Integrácia"),"ÁNO","")</f>
        <v/>
      </c>
      <c r="L1808" t="str">
        <f>IF(OR($I1808="Čaká na biznis",$J1808="Biznis",$J1808="Švédsky biznis"),"ÁNO","")</f>
        <v/>
      </c>
      <c r="N1808" s="2"/>
      <c r="O1808" s="3"/>
      <c r="Q1808"/>
      <c r="R1808" s="3"/>
      <c r="S1808" s="3"/>
      <c r="T1808"/>
      <c r="U1808"/>
      <c r="V1808"/>
      <c r="W1808"/>
      <c r="Z1808"/>
      <c r="AA1808"/>
      <c r="AD1808"/>
    </row>
    <row r="1809" spans="11:30" ht="18" customHeight="1">
      <c r="K1809" t="str">
        <f>IF(OR($I1809="Čaká na integráciu",$J1809="Integrácia"),"ÁNO","")</f>
        <v/>
      </c>
      <c r="L1809" t="str">
        <f>IF(OR($I1809="Čaká na biznis",$J1809="Biznis",$J1809="Švédsky biznis"),"ÁNO","")</f>
        <v/>
      </c>
      <c r="N1809" s="2"/>
      <c r="O1809" s="3"/>
      <c r="Q1809"/>
      <c r="R1809" s="3"/>
      <c r="S1809" s="3"/>
      <c r="T1809"/>
      <c r="U1809"/>
      <c r="V1809"/>
      <c r="W1809"/>
      <c r="Z1809"/>
      <c r="AA1809"/>
      <c r="AD1809"/>
    </row>
    <row r="1810" spans="11:30" ht="18" customHeight="1">
      <c r="K1810" t="str">
        <f>IF(OR($I1810="Čaká na integráciu",$J1810="Integrácia"),"ÁNO","")</f>
        <v/>
      </c>
      <c r="L1810" t="str">
        <f>IF(OR($I1810="Čaká na biznis",$J1810="Biznis",$J1810="Švédsky biznis"),"ÁNO","")</f>
        <v/>
      </c>
      <c r="N1810" s="2"/>
      <c r="O1810" s="3"/>
      <c r="Q1810"/>
      <c r="R1810" s="3"/>
      <c r="S1810" s="3"/>
      <c r="T1810"/>
      <c r="U1810"/>
      <c r="V1810"/>
      <c r="W1810"/>
      <c r="Z1810"/>
      <c r="AA1810"/>
      <c r="AD1810"/>
    </row>
    <row r="1811" spans="11:30" ht="18" customHeight="1">
      <c r="K1811" t="str">
        <f>IF(OR($I1811="Čaká na integráciu",$J1811="Integrácia"),"ÁNO","")</f>
        <v/>
      </c>
      <c r="L1811" t="str">
        <f>IF(OR($I1811="Čaká na biznis",$J1811="Biznis",$J1811="Švédsky biznis"),"ÁNO","")</f>
        <v/>
      </c>
      <c r="N1811" s="2"/>
      <c r="O1811" s="3"/>
      <c r="Q1811"/>
      <c r="R1811" s="3"/>
      <c r="S1811" s="3"/>
      <c r="T1811"/>
      <c r="U1811"/>
      <c r="V1811"/>
      <c r="W1811"/>
      <c r="Z1811"/>
      <c r="AA1811"/>
      <c r="AD1811"/>
    </row>
    <row r="1812" spans="11:30" ht="18" customHeight="1">
      <c r="K1812" t="str">
        <f>IF(OR($I1812="Čaká na integráciu",$J1812="Integrácia"),"ÁNO","")</f>
        <v/>
      </c>
      <c r="L1812" t="str">
        <f>IF(OR($I1812="Čaká na biznis",$J1812="Biznis",$J1812="Švédsky biznis"),"ÁNO","")</f>
        <v/>
      </c>
      <c r="N1812" s="2"/>
      <c r="O1812" s="3"/>
      <c r="Q1812"/>
      <c r="R1812" s="3"/>
      <c r="S1812" s="3"/>
      <c r="T1812"/>
      <c r="U1812"/>
      <c r="V1812"/>
      <c r="W1812"/>
      <c r="Z1812"/>
      <c r="AA1812"/>
      <c r="AD1812"/>
    </row>
    <row r="1813" spans="11:30" ht="18" customHeight="1">
      <c r="K1813" t="str">
        <f>IF(OR($I1813="Čaká na integráciu",$J1813="Integrácia"),"ÁNO","")</f>
        <v/>
      </c>
      <c r="L1813" t="str">
        <f>IF(OR($I1813="Čaká na biznis",$J1813="Biznis",$J1813="Švédsky biznis"),"ÁNO","")</f>
        <v/>
      </c>
      <c r="N1813" s="2"/>
      <c r="O1813" s="3"/>
      <c r="Q1813"/>
      <c r="R1813" s="3"/>
      <c r="S1813" s="3"/>
      <c r="T1813"/>
      <c r="U1813"/>
      <c r="V1813"/>
      <c r="W1813"/>
      <c r="Z1813"/>
      <c r="AA1813"/>
      <c r="AD1813"/>
    </row>
    <row r="1814" spans="11:30" ht="18" customHeight="1">
      <c r="K1814" t="str">
        <f>IF(OR($I1814="Čaká na integráciu",$J1814="Integrácia"),"ÁNO","")</f>
        <v/>
      </c>
      <c r="L1814" t="str">
        <f>IF(OR($I1814="Čaká na biznis",$J1814="Biznis",$J1814="Švédsky biznis"),"ÁNO","")</f>
        <v/>
      </c>
      <c r="N1814" s="2"/>
      <c r="O1814" s="3"/>
      <c r="Q1814"/>
      <c r="R1814" s="3"/>
      <c r="S1814" s="3"/>
      <c r="T1814"/>
      <c r="U1814"/>
      <c r="V1814"/>
      <c r="W1814"/>
      <c r="Z1814"/>
      <c r="AA1814"/>
      <c r="AD1814"/>
    </row>
    <row r="1815" spans="11:30" ht="18" customHeight="1">
      <c r="K1815" t="str">
        <f>IF(OR($I1815="Čaká na integráciu",$J1815="Integrácia"),"ÁNO","")</f>
        <v/>
      </c>
      <c r="L1815" t="str">
        <f>IF(OR($I1815="Čaká na biznis",$J1815="Biznis",$J1815="Švédsky biznis"),"ÁNO","")</f>
        <v/>
      </c>
      <c r="N1815" s="2"/>
      <c r="O1815" s="3"/>
      <c r="Q1815"/>
      <c r="R1815" s="3"/>
      <c r="S1815" s="3"/>
      <c r="T1815"/>
      <c r="U1815"/>
      <c r="V1815"/>
      <c r="W1815"/>
      <c r="Z1815"/>
      <c r="AA1815"/>
      <c r="AD1815"/>
    </row>
    <row r="1816" spans="11:30" ht="18" customHeight="1">
      <c r="K1816" t="str">
        <f>IF(OR($I1816="Čaká na integráciu",$J1816="Integrácia"),"ÁNO","")</f>
        <v/>
      </c>
      <c r="L1816" t="str">
        <f>IF(OR($I1816="Čaká na biznis",$J1816="Biznis",$J1816="Švédsky biznis"),"ÁNO","")</f>
        <v/>
      </c>
      <c r="N1816" s="2"/>
      <c r="O1816" s="3"/>
      <c r="Q1816"/>
      <c r="R1816" s="3"/>
      <c r="S1816" s="3"/>
      <c r="T1816"/>
      <c r="U1816"/>
      <c r="V1816"/>
      <c r="W1816"/>
      <c r="Z1816"/>
      <c r="AA1816"/>
      <c r="AD1816"/>
    </row>
    <row r="1817" spans="11:30" ht="18" customHeight="1">
      <c r="K1817" t="str">
        <f>IF(OR($I1817="Čaká na integráciu",$J1817="Integrácia"),"ÁNO","")</f>
        <v/>
      </c>
      <c r="L1817" t="str">
        <f>IF(OR($I1817="Čaká na biznis",$J1817="Biznis",$J1817="Švédsky biznis"),"ÁNO","")</f>
        <v/>
      </c>
      <c r="N1817" s="2"/>
      <c r="O1817" s="3"/>
      <c r="Q1817"/>
      <c r="R1817" s="3"/>
      <c r="S1817" s="3"/>
      <c r="T1817"/>
      <c r="U1817"/>
      <c r="V1817"/>
      <c r="W1817"/>
      <c r="Z1817"/>
      <c r="AA1817"/>
      <c r="AD1817"/>
    </row>
    <row r="1818" spans="11:30" ht="18" customHeight="1">
      <c r="K1818" t="str">
        <f>IF(OR($I1818="Čaká na integráciu",$J1818="Integrácia"),"ÁNO","")</f>
        <v/>
      </c>
      <c r="L1818" t="str">
        <f>IF(OR($I1818="Čaká na biznis",$J1818="Biznis",$J1818="Švédsky biznis"),"ÁNO","")</f>
        <v/>
      </c>
      <c r="N1818" s="2"/>
      <c r="O1818" s="3"/>
      <c r="Q1818"/>
      <c r="R1818" s="3"/>
      <c r="S1818" s="3"/>
      <c r="T1818"/>
      <c r="U1818"/>
      <c r="V1818"/>
      <c r="W1818"/>
      <c r="Z1818"/>
      <c r="AA1818"/>
      <c r="AD1818"/>
    </row>
    <row r="1819" spans="11:30" ht="18" customHeight="1">
      <c r="K1819" t="str">
        <f>IF(OR($I1819="Čaká na integráciu",$J1819="Integrácia"),"ÁNO","")</f>
        <v/>
      </c>
      <c r="L1819" t="str">
        <f>IF(OR($I1819="Čaká na biznis",$J1819="Biznis",$J1819="Švédsky biznis"),"ÁNO","")</f>
        <v/>
      </c>
      <c r="N1819" s="2"/>
      <c r="O1819" s="3"/>
      <c r="Q1819"/>
      <c r="R1819" s="3"/>
      <c r="S1819" s="3"/>
      <c r="T1819"/>
      <c r="U1819"/>
      <c r="V1819"/>
      <c r="W1819"/>
      <c r="Z1819"/>
      <c r="AA1819"/>
      <c r="AD1819"/>
    </row>
    <row r="1820" spans="11:30" ht="18" customHeight="1">
      <c r="K1820" t="str">
        <f>IF(OR($I1820="Čaká na integráciu",$J1820="Integrácia"),"ÁNO","")</f>
        <v/>
      </c>
      <c r="L1820" t="str">
        <f>IF(OR($I1820="Čaká na biznis",$J1820="Biznis",$J1820="Švédsky biznis"),"ÁNO","")</f>
        <v/>
      </c>
      <c r="N1820" s="2"/>
      <c r="O1820" s="3"/>
      <c r="Q1820"/>
      <c r="R1820" s="3"/>
      <c r="S1820" s="3"/>
      <c r="T1820"/>
      <c r="U1820"/>
      <c r="V1820"/>
      <c r="W1820"/>
      <c r="Z1820"/>
      <c r="AA1820"/>
      <c r="AD1820"/>
    </row>
    <row r="1821" spans="11:30" ht="18" customHeight="1">
      <c r="K1821" t="str">
        <f>IF(OR($I1821="Čaká na integráciu",$J1821="Integrácia"),"ÁNO","")</f>
        <v/>
      </c>
      <c r="L1821" t="str">
        <f>IF(OR($I1821="Čaká na biznis",$J1821="Biznis",$J1821="Švédsky biznis"),"ÁNO","")</f>
        <v/>
      </c>
      <c r="N1821" s="2"/>
      <c r="O1821" s="3"/>
      <c r="Q1821"/>
      <c r="R1821" s="3"/>
      <c r="S1821" s="3"/>
      <c r="T1821"/>
      <c r="U1821"/>
      <c r="V1821"/>
      <c r="W1821"/>
      <c r="Z1821"/>
      <c r="AA1821"/>
      <c r="AD1821"/>
    </row>
    <row r="1822" spans="11:30" ht="18" customHeight="1">
      <c r="K1822" t="str">
        <f>IF(OR($I1822="Čaká na integráciu",$J1822="Integrácia"),"ÁNO","")</f>
        <v/>
      </c>
      <c r="L1822" t="str">
        <f>IF(OR($I1822="Čaká na biznis",$J1822="Biznis",$J1822="Švédsky biznis"),"ÁNO","")</f>
        <v/>
      </c>
      <c r="N1822" s="2"/>
      <c r="O1822" s="3"/>
      <c r="Q1822"/>
      <c r="R1822" s="3"/>
      <c r="S1822" s="3"/>
      <c r="T1822"/>
      <c r="U1822"/>
      <c r="V1822"/>
      <c r="W1822"/>
      <c r="Z1822"/>
      <c r="AA1822"/>
      <c r="AD1822"/>
    </row>
    <row r="1823" spans="11:30" ht="18" customHeight="1">
      <c r="K1823" t="str">
        <f>IF(OR($I1823="Čaká na integráciu",$J1823="Integrácia"),"ÁNO","")</f>
        <v/>
      </c>
      <c r="L1823" t="str">
        <f>IF(OR($I1823="Čaká na biznis",$J1823="Biznis",$J1823="Švédsky biznis"),"ÁNO","")</f>
        <v/>
      </c>
      <c r="N1823" s="2"/>
      <c r="O1823" s="3"/>
      <c r="Q1823"/>
      <c r="R1823" s="3"/>
      <c r="S1823" s="3"/>
      <c r="T1823"/>
      <c r="U1823"/>
      <c r="V1823"/>
      <c r="W1823"/>
      <c r="Z1823"/>
      <c r="AA1823"/>
      <c r="AD1823"/>
    </row>
    <row r="1824" spans="11:30" ht="18" customHeight="1">
      <c r="K1824" t="str">
        <f>IF(OR($I1824="Čaká na integráciu",$J1824="Integrácia"),"ÁNO","")</f>
        <v/>
      </c>
      <c r="L1824" t="str">
        <f>IF(OR($I1824="Čaká na biznis",$J1824="Biznis",$J1824="Švédsky biznis"),"ÁNO","")</f>
        <v/>
      </c>
      <c r="N1824" s="2"/>
      <c r="O1824" s="3"/>
      <c r="Q1824"/>
      <c r="R1824" s="3"/>
      <c r="S1824" s="3"/>
      <c r="T1824"/>
      <c r="U1824"/>
      <c r="V1824"/>
      <c r="W1824"/>
      <c r="Z1824"/>
      <c r="AA1824"/>
      <c r="AD1824"/>
    </row>
    <row r="1825" spans="11:30" ht="18" customHeight="1">
      <c r="K1825" t="str">
        <f>IF(OR($I1825="Čaká na integráciu",$J1825="Integrácia"),"ÁNO","")</f>
        <v/>
      </c>
      <c r="L1825" t="str">
        <f>IF(OR($I1825="Čaká na biznis",$J1825="Biznis",$J1825="Švédsky biznis"),"ÁNO","")</f>
        <v/>
      </c>
      <c r="N1825" s="2"/>
      <c r="O1825" s="3"/>
      <c r="Q1825"/>
      <c r="R1825" s="3"/>
      <c r="S1825" s="3"/>
      <c r="T1825"/>
      <c r="U1825"/>
      <c r="V1825"/>
      <c r="W1825"/>
      <c r="Z1825"/>
      <c r="AA1825"/>
      <c r="AD1825"/>
    </row>
    <row r="1826" spans="11:30" ht="18" customHeight="1">
      <c r="K1826" t="str">
        <f>IF(OR($I1826="Čaká na integráciu",$J1826="Integrácia"),"ÁNO","")</f>
        <v/>
      </c>
      <c r="L1826" t="str">
        <f>IF(OR($I1826="Čaká na biznis",$J1826="Biznis",$J1826="Švédsky biznis"),"ÁNO","")</f>
        <v/>
      </c>
      <c r="N1826" s="2"/>
      <c r="O1826" s="3"/>
      <c r="Q1826"/>
      <c r="R1826" s="3"/>
      <c r="S1826" s="3"/>
      <c r="T1826"/>
      <c r="U1826"/>
      <c r="V1826"/>
      <c r="W1826"/>
      <c r="Z1826"/>
      <c r="AA1826"/>
      <c r="AD1826"/>
    </row>
    <row r="1827" spans="11:30" ht="18" customHeight="1">
      <c r="K1827" t="str">
        <f>IF(OR($I1827="Čaká na integráciu",$J1827="Integrácia"),"ÁNO","")</f>
        <v/>
      </c>
      <c r="L1827" t="str">
        <f>IF(OR($I1827="Čaká na biznis",$J1827="Biznis",$J1827="Švédsky biznis"),"ÁNO","")</f>
        <v/>
      </c>
      <c r="N1827" s="2"/>
      <c r="O1827" s="3"/>
      <c r="Q1827"/>
      <c r="R1827" s="3"/>
      <c r="S1827" s="3"/>
      <c r="T1827"/>
      <c r="U1827"/>
      <c r="V1827"/>
      <c r="W1827"/>
      <c r="Z1827"/>
      <c r="AA1827"/>
      <c r="AD1827"/>
    </row>
    <row r="1828" spans="11:30" ht="18" customHeight="1">
      <c r="K1828" t="str">
        <f>IF(OR($I1828="Čaká na integráciu",$J1828="Integrácia"),"ÁNO","")</f>
        <v/>
      </c>
      <c r="L1828" t="str">
        <f>IF(OR($I1828="Čaká na biznis",$J1828="Biznis",$J1828="Švédsky biznis"),"ÁNO","")</f>
        <v/>
      </c>
      <c r="N1828" s="2"/>
      <c r="O1828" s="3"/>
      <c r="Q1828"/>
      <c r="R1828" s="3"/>
      <c r="S1828" s="3"/>
      <c r="T1828"/>
      <c r="U1828"/>
      <c r="V1828"/>
      <c r="W1828"/>
      <c r="Z1828"/>
      <c r="AA1828"/>
      <c r="AD1828"/>
    </row>
    <row r="1829" spans="11:30" ht="18" customHeight="1">
      <c r="K1829" t="str">
        <f>IF(OR($I1829="Čaká na integráciu",$J1829="Integrácia"),"ÁNO","")</f>
        <v/>
      </c>
      <c r="L1829" t="str">
        <f>IF(OR($I1829="Čaká na biznis",$J1829="Biznis",$J1829="Švédsky biznis"),"ÁNO","")</f>
        <v/>
      </c>
      <c r="N1829" s="2"/>
      <c r="O1829" s="3"/>
      <c r="Q1829"/>
      <c r="R1829" s="3"/>
      <c r="S1829" s="3"/>
      <c r="T1829"/>
      <c r="U1829"/>
      <c r="V1829"/>
      <c r="W1829"/>
      <c r="Z1829"/>
      <c r="AA1829"/>
      <c r="AD1829"/>
    </row>
    <row r="1830" spans="11:30" ht="18" customHeight="1">
      <c r="K1830" t="str">
        <f>IF(OR($I1830="Čaká na integráciu",$J1830="Integrácia"),"ÁNO","")</f>
        <v/>
      </c>
      <c r="L1830" t="str">
        <f>IF(OR($I1830="Čaká na biznis",$J1830="Biznis",$J1830="Švédsky biznis"),"ÁNO","")</f>
        <v/>
      </c>
      <c r="N1830" s="2"/>
      <c r="O1830" s="3"/>
      <c r="Q1830"/>
      <c r="R1830" s="3"/>
      <c r="S1830" s="3"/>
      <c r="T1830"/>
      <c r="U1830"/>
      <c r="V1830"/>
      <c r="W1830"/>
      <c r="Z1830"/>
      <c r="AA1830"/>
      <c r="AD1830"/>
    </row>
    <row r="1831" spans="11:30" ht="18" customHeight="1">
      <c r="K1831" t="str">
        <f>IF(OR($I1831="Čaká na integráciu",$J1831="Integrácia"),"ÁNO","")</f>
        <v/>
      </c>
      <c r="L1831" t="str">
        <f>IF(OR($I1831="Čaká na biznis",$J1831="Biznis",$J1831="Švédsky biznis"),"ÁNO","")</f>
        <v/>
      </c>
      <c r="N1831" s="2"/>
      <c r="O1831" s="3"/>
      <c r="Q1831"/>
      <c r="R1831" s="3"/>
      <c r="S1831" s="3"/>
      <c r="T1831"/>
      <c r="U1831"/>
      <c r="V1831"/>
      <c r="W1831"/>
      <c r="Z1831"/>
      <c r="AA1831"/>
      <c r="AD1831"/>
    </row>
    <row r="1832" spans="11:30" ht="18" customHeight="1">
      <c r="K1832" t="str">
        <f>IF(OR($I1832="Čaká na integráciu",$J1832="Integrácia"),"ÁNO","")</f>
        <v/>
      </c>
      <c r="L1832" t="str">
        <f>IF(OR($I1832="Čaká na biznis",$J1832="Biznis",$J1832="Švédsky biznis"),"ÁNO","")</f>
        <v/>
      </c>
      <c r="N1832" s="2"/>
      <c r="O1832" s="3"/>
      <c r="Q1832"/>
      <c r="R1832" s="3"/>
      <c r="S1832" s="3"/>
      <c r="T1832"/>
      <c r="U1832"/>
      <c r="V1832"/>
      <c r="W1832"/>
      <c r="Z1832"/>
      <c r="AA1832"/>
      <c r="AD1832"/>
    </row>
    <row r="1833" spans="11:30" ht="18" customHeight="1">
      <c r="K1833" t="str">
        <f>IF(OR($I1833="Čaká na integráciu",$J1833="Integrácia"),"ÁNO","")</f>
        <v/>
      </c>
      <c r="L1833" t="str">
        <f>IF(OR($I1833="Čaká na biznis",$J1833="Biznis",$J1833="Švédsky biznis"),"ÁNO","")</f>
        <v/>
      </c>
      <c r="N1833" s="2"/>
      <c r="O1833" s="3"/>
      <c r="Q1833"/>
      <c r="R1833" s="3"/>
      <c r="S1833" s="3"/>
      <c r="T1833"/>
      <c r="U1833"/>
      <c r="V1833"/>
      <c r="W1833"/>
      <c r="Z1833"/>
      <c r="AA1833"/>
      <c r="AD1833"/>
    </row>
    <row r="1834" spans="11:30" ht="18" customHeight="1">
      <c r="K1834" t="str">
        <f>IF(OR($I1834="Čaká na integráciu",$J1834="Integrácia"),"ÁNO","")</f>
        <v/>
      </c>
      <c r="L1834" t="str">
        <f>IF(OR($I1834="Čaká na biznis",$J1834="Biznis",$J1834="Švédsky biznis"),"ÁNO","")</f>
        <v/>
      </c>
      <c r="N1834" s="2"/>
      <c r="O1834" s="3"/>
      <c r="Q1834"/>
      <c r="R1834" s="3"/>
      <c r="S1834" s="3"/>
      <c r="T1834"/>
      <c r="U1834"/>
      <c r="V1834"/>
      <c r="W1834"/>
      <c r="Z1834"/>
      <c r="AA1834"/>
      <c r="AD1834"/>
    </row>
    <row r="1835" spans="11:30" ht="18" customHeight="1">
      <c r="K1835" t="str">
        <f>IF(OR($I1835="Čaká na integráciu",$J1835="Integrácia"),"ÁNO","")</f>
        <v/>
      </c>
      <c r="L1835" t="str">
        <f>IF(OR($I1835="Čaká na biznis",$J1835="Biznis",$J1835="Švédsky biznis"),"ÁNO","")</f>
        <v/>
      </c>
      <c r="N1835" s="2"/>
      <c r="O1835" s="3"/>
      <c r="Q1835"/>
      <c r="R1835" s="3"/>
      <c r="S1835" s="3"/>
      <c r="T1835"/>
      <c r="U1835"/>
      <c r="V1835"/>
      <c r="W1835"/>
      <c r="Z1835"/>
      <c r="AA1835"/>
      <c r="AD1835"/>
    </row>
    <row r="1836" spans="11:30" ht="18" customHeight="1">
      <c r="K1836" t="str">
        <f>IF(OR($I1836="Čaká na integráciu",$J1836="Integrácia"),"ÁNO","")</f>
        <v/>
      </c>
      <c r="L1836" t="str">
        <f>IF(OR($I1836="Čaká na biznis",$J1836="Biznis",$J1836="Švédsky biznis"),"ÁNO","")</f>
        <v/>
      </c>
      <c r="N1836" s="2"/>
      <c r="O1836" s="3"/>
      <c r="Q1836"/>
      <c r="R1836" s="3"/>
      <c r="S1836" s="3"/>
      <c r="T1836"/>
      <c r="U1836"/>
      <c r="V1836"/>
      <c r="W1836"/>
      <c r="Z1836"/>
      <c r="AA1836"/>
      <c r="AD1836"/>
    </row>
    <row r="1837" spans="11:30" ht="18" customHeight="1">
      <c r="K1837" t="str">
        <f>IF(OR($I1837="Čaká na integráciu",$J1837="Integrácia"),"ÁNO","")</f>
        <v/>
      </c>
      <c r="L1837" t="str">
        <f>IF(OR($I1837="Čaká na biznis",$J1837="Biznis",$J1837="Švédsky biznis"),"ÁNO","")</f>
        <v/>
      </c>
      <c r="N1837" s="2"/>
      <c r="O1837" s="3"/>
      <c r="Q1837"/>
      <c r="R1837" s="3"/>
      <c r="S1837" s="3"/>
      <c r="T1837"/>
      <c r="U1837"/>
      <c r="V1837"/>
      <c r="W1837"/>
      <c r="Z1837"/>
      <c r="AA1837"/>
      <c r="AD1837"/>
    </row>
    <row r="1838" spans="11:30" ht="18" customHeight="1">
      <c r="K1838" t="str">
        <f>IF(OR($I1838="Čaká na integráciu",$J1838="Integrácia"),"ÁNO","")</f>
        <v/>
      </c>
      <c r="L1838" t="str">
        <f>IF(OR($I1838="Čaká na biznis",$J1838="Biznis",$J1838="Švédsky biznis"),"ÁNO","")</f>
        <v/>
      </c>
      <c r="N1838" s="2"/>
      <c r="O1838" s="3"/>
      <c r="Q1838"/>
      <c r="R1838" s="3"/>
      <c r="S1838" s="3"/>
      <c r="T1838"/>
      <c r="U1838"/>
      <c r="V1838"/>
      <c r="W1838"/>
      <c r="Z1838"/>
      <c r="AA1838"/>
      <c r="AD1838"/>
    </row>
    <row r="1839" spans="11:30" ht="18" customHeight="1">
      <c r="K1839" t="str">
        <f>IF(OR($I1839="Čaká na integráciu",$J1839="Integrácia"),"ÁNO","")</f>
        <v/>
      </c>
      <c r="L1839" t="str">
        <f>IF(OR($I1839="Čaká na biznis",$J1839="Biznis",$J1839="Švédsky biznis"),"ÁNO","")</f>
        <v/>
      </c>
      <c r="N1839" s="2"/>
      <c r="O1839" s="3"/>
      <c r="Q1839"/>
      <c r="R1839" s="3"/>
      <c r="S1839" s="3"/>
      <c r="T1839"/>
      <c r="U1839"/>
      <c r="V1839"/>
      <c r="W1839"/>
      <c r="Z1839"/>
      <c r="AA1839"/>
      <c r="AD1839"/>
    </row>
    <row r="1840" spans="11:30" ht="18" customHeight="1">
      <c r="K1840" t="str">
        <f>IF(OR($I1840="Čaká na integráciu",$J1840="Integrácia"),"ÁNO","")</f>
        <v/>
      </c>
      <c r="L1840" t="str">
        <f>IF(OR($I1840="Čaká na biznis",$J1840="Biznis",$J1840="Švédsky biznis"),"ÁNO","")</f>
        <v/>
      </c>
      <c r="N1840" s="2"/>
      <c r="O1840" s="3"/>
      <c r="Q1840"/>
      <c r="R1840" s="3"/>
      <c r="S1840" s="3"/>
      <c r="T1840"/>
      <c r="U1840"/>
      <c r="V1840"/>
      <c r="W1840"/>
      <c r="Z1840"/>
      <c r="AA1840"/>
      <c r="AD1840"/>
    </row>
    <row r="1841" spans="11:30" ht="18" customHeight="1">
      <c r="K1841" t="str">
        <f>IF(OR($I1841="Čaká na integráciu",$J1841="Integrácia"),"ÁNO","")</f>
        <v/>
      </c>
      <c r="L1841" t="str">
        <f>IF(OR($I1841="Čaká na biznis",$J1841="Biznis",$J1841="Švédsky biznis"),"ÁNO","")</f>
        <v/>
      </c>
      <c r="N1841" s="2"/>
      <c r="O1841" s="3"/>
      <c r="Q1841"/>
      <c r="R1841" s="3"/>
      <c r="S1841" s="3"/>
      <c r="T1841"/>
      <c r="U1841"/>
      <c r="V1841"/>
      <c r="W1841"/>
      <c r="Z1841"/>
      <c r="AA1841"/>
      <c r="AD1841"/>
    </row>
    <row r="1842" spans="11:30" ht="18" customHeight="1">
      <c r="K1842" t="str">
        <f>IF(OR($I1842="Čaká na integráciu",$J1842="Integrácia"),"ÁNO","")</f>
        <v/>
      </c>
      <c r="L1842" t="str">
        <f>IF(OR($I1842="Čaká na biznis",$J1842="Biznis",$J1842="Švédsky biznis"),"ÁNO","")</f>
        <v/>
      </c>
      <c r="N1842" s="2"/>
      <c r="O1842" s="3"/>
      <c r="Q1842"/>
      <c r="R1842" s="3"/>
      <c r="S1842" s="3"/>
      <c r="T1842"/>
      <c r="U1842"/>
      <c r="V1842"/>
      <c r="W1842"/>
      <c r="Z1842"/>
      <c r="AA1842"/>
      <c r="AD1842"/>
    </row>
    <row r="1843" spans="11:30" ht="18" customHeight="1">
      <c r="K1843" t="str">
        <f>IF(OR($I1843="Čaká na integráciu",$J1843="Integrácia"),"ÁNO","")</f>
        <v/>
      </c>
      <c r="L1843" t="str">
        <f>IF(OR($I1843="Čaká na biznis",$J1843="Biznis",$J1843="Švédsky biznis"),"ÁNO","")</f>
        <v/>
      </c>
      <c r="N1843" s="2"/>
      <c r="O1843" s="3"/>
      <c r="Q1843"/>
      <c r="R1843" s="3"/>
      <c r="S1843" s="3"/>
      <c r="T1843"/>
      <c r="U1843"/>
      <c r="V1843"/>
      <c r="W1843"/>
      <c r="Z1843"/>
      <c r="AA1843"/>
      <c r="AD1843"/>
    </row>
    <row r="1844" spans="11:30" ht="18" customHeight="1">
      <c r="K1844" t="str">
        <f>IF(OR($I1844="Čaká na integráciu",$J1844="Integrácia"),"ÁNO","")</f>
        <v/>
      </c>
      <c r="L1844" t="str">
        <f>IF(OR($I1844="Čaká na biznis",$J1844="Biznis",$J1844="Švédsky biznis"),"ÁNO","")</f>
        <v/>
      </c>
      <c r="N1844" s="2"/>
      <c r="O1844" s="3"/>
      <c r="Q1844"/>
      <c r="R1844" s="3"/>
      <c r="S1844" s="3"/>
      <c r="T1844"/>
      <c r="U1844"/>
      <c r="V1844"/>
      <c r="W1844"/>
      <c r="Z1844"/>
      <c r="AA1844"/>
      <c r="AD1844"/>
    </row>
    <row r="1845" spans="11:30" ht="18" customHeight="1">
      <c r="K1845" t="str">
        <f>IF(OR($I1845="Čaká na integráciu",$J1845="Integrácia"),"ÁNO","")</f>
        <v/>
      </c>
      <c r="L1845" t="str">
        <f>IF(OR($I1845="Čaká na biznis",$J1845="Biznis",$J1845="Švédsky biznis"),"ÁNO","")</f>
        <v/>
      </c>
      <c r="N1845" s="2"/>
      <c r="O1845" s="3"/>
      <c r="Q1845"/>
      <c r="R1845" s="3"/>
      <c r="S1845" s="3"/>
      <c r="T1845"/>
      <c r="U1845"/>
      <c r="V1845"/>
      <c r="W1845"/>
      <c r="Z1845"/>
      <c r="AA1845"/>
      <c r="AD1845"/>
    </row>
    <row r="1846" spans="11:30" ht="18" customHeight="1">
      <c r="K1846" t="str">
        <f>IF(OR($I1846="Čaká na integráciu",$J1846="Integrácia"),"ÁNO","")</f>
        <v/>
      </c>
      <c r="L1846" t="str">
        <f>IF(OR($I1846="Čaká na biznis",$J1846="Biznis",$J1846="Švédsky biznis"),"ÁNO","")</f>
        <v/>
      </c>
      <c r="N1846" s="2"/>
      <c r="O1846" s="3"/>
      <c r="Q1846"/>
      <c r="R1846" s="3"/>
      <c r="S1846" s="3"/>
      <c r="T1846"/>
      <c r="U1846"/>
      <c r="V1846"/>
      <c r="W1846"/>
      <c r="Z1846"/>
      <c r="AA1846"/>
      <c r="AD1846"/>
    </row>
    <row r="1847" spans="11:30" ht="18" customHeight="1">
      <c r="K1847" t="str">
        <f>IF(OR($I1847="Čaká na integráciu",$J1847="Integrácia"),"ÁNO","")</f>
        <v/>
      </c>
      <c r="L1847" t="str">
        <f>IF(OR($I1847="Čaká na biznis",$J1847="Biznis",$J1847="Švédsky biznis"),"ÁNO","")</f>
        <v/>
      </c>
      <c r="N1847" s="2"/>
      <c r="O1847" s="3"/>
      <c r="Q1847"/>
      <c r="R1847" s="3"/>
      <c r="S1847" s="3"/>
      <c r="T1847"/>
      <c r="U1847"/>
      <c r="V1847"/>
      <c r="W1847"/>
      <c r="Z1847"/>
      <c r="AA1847"/>
      <c r="AD1847"/>
    </row>
    <row r="1848" spans="11:30" ht="18" customHeight="1">
      <c r="K1848" t="str">
        <f>IF(OR($I1848="Čaká na integráciu",$J1848="Integrácia"),"ÁNO","")</f>
        <v/>
      </c>
      <c r="L1848" t="str">
        <f>IF(OR($I1848="Čaká na biznis",$J1848="Biznis",$J1848="Švédsky biznis"),"ÁNO","")</f>
        <v/>
      </c>
      <c r="N1848" s="2"/>
      <c r="O1848" s="3"/>
      <c r="Q1848"/>
      <c r="R1848" s="3"/>
      <c r="S1848" s="3"/>
      <c r="T1848"/>
      <c r="U1848"/>
      <c r="V1848"/>
      <c r="W1848"/>
      <c r="Z1848"/>
      <c r="AA1848"/>
      <c r="AD1848"/>
    </row>
    <row r="1849" spans="11:30" ht="18" customHeight="1">
      <c r="K1849" t="str">
        <f>IF(OR($I1849="Čaká na integráciu",$J1849="Integrácia"),"ÁNO","")</f>
        <v/>
      </c>
      <c r="L1849" t="str">
        <f>IF(OR($I1849="Čaká na biznis",$J1849="Biznis",$J1849="Švédsky biznis"),"ÁNO","")</f>
        <v/>
      </c>
      <c r="N1849" s="2"/>
      <c r="O1849" s="3"/>
      <c r="Q1849"/>
      <c r="R1849" s="3"/>
      <c r="S1849" s="3"/>
      <c r="T1849"/>
      <c r="U1849"/>
      <c r="V1849"/>
      <c r="W1849"/>
      <c r="Z1849"/>
      <c r="AA1849"/>
      <c r="AD1849"/>
    </row>
    <row r="1850" spans="11:30" ht="18" customHeight="1">
      <c r="K1850" t="str">
        <f>IF(OR($I1850="Čaká na integráciu",$J1850="Integrácia"),"ÁNO","")</f>
        <v/>
      </c>
      <c r="L1850" t="str">
        <f>IF(OR($I1850="Čaká na biznis",$J1850="Biznis",$J1850="Švédsky biznis"),"ÁNO","")</f>
        <v/>
      </c>
      <c r="N1850" s="2"/>
      <c r="O1850" s="3"/>
      <c r="Q1850"/>
      <c r="R1850" s="3"/>
      <c r="S1850" s="3"/>
      <c r="T1850"/>
      <c r="U1850"/>
      <c r="V1850"/>
      <c r="W1850"/>
      <c r="Z1850"/>
      <c r="AA1850"/>
      <c r="AD1850"/>
    </row>
    <row r="1851" spans="11:30" ht="18" customHeight="1">
      <c r="K1851" t="str">
        <f>IF(OR($I1851="Čaká na integráciu",$J1851="Integrácia"),"ÁNO","")</f>
        <v/>
      </c>
      <c r="L1851" t="str">
        <f>IF(OR($I1851="Čaká na biznis",$J1851="Biznis",$J1851="Švédsky biznis"),"ÁNO","")</f>
        <v/>
      </c>
      <c r="N1851" s="2"/>
      <c r="O1851" s="3"/>
      <c r="Q1851"/>
      <c r="R1851" s="3"/>
      <c r="S1851" s="3"/>
      <c r="T1851"/>
      <c r="U1851"/>
      <c r="V1851"/>
      <c r="W1851"/>
      <c r="Z1851"/>
      <c r="AA1851"/>
      <c r="AD1851"/>
    </row>
    <row r="1852" spans="11:30" ht="18" customHeight="1">
      <c r="K1852" t="str">
        <f>IF(OR($I1852="Čaká na integráciu",$J1852="Integrácia"),"ÁNO","")</f>
        <v/>
      </c>
      <c r="L1852" t="str">
        <f>IF(OR($I1852="Čaká na biznis",$J1852="Biznis",$J1852="Švédsky biznis"),"ÁNO","")</f>
        <v/>
      </c>
      <c r="N1852" s="2"/>
      <c r="O1852" s="3"/>
      <c r="Q1852"/>
      <c r="R1852" s="3"/>
      <c r="S1852" s="3"/>
      <c r="T1852"/>
      <c r="U1852"/>
      <c r="V1852"/>
      <c r="W1852"/>
      <c r="Z1852"/>
      <c r="AA1852"/>
      <c r="AD1852"/>
    </row>
    <row r="1853" spans="11:30" ht="18" customHeight="1">
      <c r="K1853" t="str">
        <f>IF(OR($I1853="Čaká na integráciu",$J1853="Integrácia"),"ÁNO","")</f>
        <v/>
      </c>
      <c r="L1853" t="str">
        <f>IF(OR($I1853="Čaká na biznis",$J1853="Biznis",$J1853="Švédsky biznis"),"ÁNO","")</f>
        <v/>
      </c>
      <c r="N1853" s="2"/>
      <c r="O1853" s="3"/>
      <c r="Q1853"/>
      <c r="R1853" s="3"/>
      <c r="S1853" s="3"/>
      <c r="T1853"/>
      <c r="U1853"/>
      <c r="V1853"/>
      <c r="W1853"/>
      <c r="Z1853"/>
      <c r="AA1853"/>
      <c r="AD1853"/>
    </row>
    <row r="1854" spans="11:30" ht="18" customHeight="1">
      <c r="K1854" t="str">
        <f>IF(OR($I1854="Čaká na integráciu",$J1854="Integrácia"),"ÁNO","")</f>
        <v/>
      </c>
      <c r="L1854" t="str">
        <f>IF(OR($I1854="Čaká na biznis",$J1854="Biznis",$J1854="Švédsky biznis"),"ÁNO","")</f>
        <v/>
      </c>
      <c r="N1854" s="2"/>
      <c r="O1854" s="3"/>
      <c r="Q1854"/>
      <c r="R1854" s="3"/>
      <c r="S1854" s="3"/>
      <c r="T1854"/>
      <c r="U1854"/>
      <c r="V1854"/>
      <c r="W1854"/>
      <c r="Z1854"/>
      <c r="AA1854"/>
      <c r="AD1854"/>
    </row>
    <row r="1855" spans="11:30" ht="18" customHeight="1">
      <c r="K1855" t="str">
        <f>IF(OR($I1855="Čaká na integráciu",$J1855="Integrácia"),"ÁNO","")</f>
        <v/>
      </c>
      <c r="L1855" t="str">
        <f>IF(OR($I1855="Čaká na biznis",$J1855="Biznis",$J1855="Švédsky biznis"),"ÁNO","")</f>
        <v/>
      </c>
      <c r="N1855" s="2"/>
      <c r="O1855" s="3"/>
      <c r="Q1855"/>
      <c r="R1855" s="3"/>
      <c r="S1855" s="3"/>
      <c r="T1855"/>
      <c r="U1855"/>
      <c r="V1855"/>
      <c r="W1855"/>
      <c r="Z1855"/>
      <c r="AA1855"/>
      <c r="AD1855"/>
    </row>
    <row r="1856" spans="11:30" ht="18" customHeight="1">
      <c r="K1856" t="str">
        <f>IF(OR($I1856="Čaká na integráciu",$J1856="Integrácia"),"ÁNO","")</f>
        <v/>
      </c>
      <c r="L1856" t="str">
        <f>IF(OR($I1856="Čaká na biznis",$J1856="Biznis",$J1856="Švédsky biznis"),"ÁNO","")</f>
        <v/>
      </c>
      <c r="N1856" s="2"/>
      <c r="O1856" s="3"/>
      <c r="Q1856"/>
      <c r="R1856" s="3"/>
      <c r="S1856" s="3"/>
      <c r="T1856"/>
      <c r="U1856"/>
      <c r="V1856"/>
      <c r="W1856"/>
      <c r="Z1856"/>
      <c r="AA1856"/>
      <c r="AD1856"/>
    </row>
    <row r="1857" spans="11:30" ht="18" customHeight="1">
      <c r="K1857" t="str">
        <f>IF(OR($I1857="Čaká na integráciu",$J1857="Integrácia"),"ÁNO","")</f>
        <v/>
      </c>
      <c r="L1857" t="str">
        <f>IF(OR($I1857="Čaká na biznis",$J1857="Biznis",$J1857="Švédsky biznis"),"ÁNO","")</f>
        <v/>
      </c>
      <c r="N1857" s="2"/>
      <c r="O1857" s="3"/>
      <c r="Q1857"/>
      <c r="R1857" s="3"/>
      <c r="S1857" s="3"/>
      <c r="T1857"/>
      <c r="U1857"/>
      <c r="V1857"/>
      <c r="W1857"/>
      <c r="Z1857"/>
      <c r="AA1857"/>
      <c r="AD1857"/>
    </row>
    <row r="1858" spans="11:30" ht="18" customHeight="1">
      <c r="K1858" t="str">
        <f>IF(OR($I1858="Čaká na integráciu",$J1858="Integrácia"),"ÁNO","")</f>
        <v/>
      </c>
      <c r="L1858" t="str">
        <f>IF(OR($I1858="Čaká na biznis",$J1858="Biznis",$J1858="Švédsky biznis"),"ÁNO","")</f>
        <v/>
      </c>
      <c r="N1858" s="2"/>
      <c r="O1858" s="3"/>
      <c r="Q1858"/>
      <c r="R1858" s="3"/>
      <c r="S1858" s="3"/>
      <c r="T1858"/>
      <c r="U1858"/>
      <c r="V1858"/>
      <c r="W1858"/>
      <c r="Z1858"/>
      <c r="AA1858"/>
      <c r="AD1858"/>
    </row>
    <row r="1859" spans="11:30" ht="18" customHeight="1">
      <c r="K1859" t="str">
        <f>IF(OR($I1859="Čaká na integráciu",$J1859="Integrácia"),"ÁNO","")</f>
        <v/>
      </c>
      <c r="L1859" t="str">
        <f>IF(OR($I1859="Čaká na biznis",$J1859="Biznis",$J1859="Švédsky biznis"),"ÁNO","")</f>
        <v/>
      </c>
      <c r="N1859" s="2"/>
      <c r="O1859" s="3"/>
      <c r="Q1859"/>
      <c r="R1859" s="3"/>
      <c r="S1859" s="3"/>
      <c r="T1859"/>
      <c r="U1859"/>
      <c r="V1859"/>
      <c r="W1859"/>
      <c r="Z1859"/>
      <c r="AA1859"/>
      <c r="AD1859"/>
    </row>
    <row r="1860" spans="11:30" ht="18" customHeight="1">
      <c r="K1860" t="str">
        <f>IF(OR($I1860="Čaká na integráciu",$J1860="Integrácia"),"ÁNO","")</f>
        <v/>
      </c>
      <c r="L1860" t="str">
        <f>IF(OR($I1860="Čaká na biznis",$J1860="Biznis",$J1860="Švédsky biznis"),"ÁNO","")</f>
        <v/>
      </c>
      <c r="N1860" s="2"/>
      <c r="O1860" s="3"/>
      <c r="Q1860"/>
      <c r="R1860" s="3"/>
      <c r="S1860" s="3"/>
      <c r="T1860"/>
      <c r="U1860"/>
      <c r="V1860"/>
      <c r="W1860"/>
      <c r="Z1860"/>
      <c r="AA1860"/>
      <c r="AD1860"/>
    </row>
    <row r="1861" spans="11:30" ht="18" customHeight="1">
      <c r="K1861" t="str">
        <f>IF(OR($I1861="Čaká na integráciu",$J1861="Integrácia"),"ÁNO","")</f>
        <v/>
      </c>
      <c r="L1861" t="str">
        <f>IF(OR($I1861="Čaká na biznis",$J1861="Biznis",$J1861="Švédsky biznis"),"ÁNO","")</f>
        <v/>
      </c>
      <c r="N1861" s="2"/>
      <c r="O1861" s="3"/>
      <c r="Q1861"/>
      <c r="R1861" s="3"/>
      <c r="S1861" s="3"/>
      <c r="T1861"/>
      <c r="U1861"/>
      <c r="V1861"/>
      <c r="W1861"/>
      <c r="Z1861"/>
      <c r="AA1861"/>
      <c r="AD1861"/>
    </row>
    <row r="1862" spans="11:30" ht="18" customHeight="1">
      <c r="K1862" t="str">
        <f>IF(OR($I1862="Čaká na integráciu",$J1862="Integrácia"),"ÁNO","")</f>
        <v/>
      </c>
      <c r="L1862" t="str">
        <f>IF(OR($I1862="Čaká na biznis",$J1862="Biznis",$J1862="Švédsky biznis"),"ÁNO","")</f>
        <v/>
      </c>
      <c r="N1862" s="2"/>
      <c r="O1862" s="3"/>
      <c r="Q1862"/>
      <c r="R1862" s="3"/>
      <c r="S1862" s="3"/>
      <c r="T1862"/>
      <c r="U1862"/>
      <c r="V1862"/>
      <c r="W1862"/>
      <c r="Z1862"/>
      <c r="AA1862"/>
      <c r="AD1862"/>
    </row>
    <row r="1863" spans="11:30" ht="18" customHeight="1">
      <c r="K1863" t="str">
        <f>IF(OR($I1863="Čaká na integráciu",$J1863="Integrácia"),"ÁNO","")</f>
        <v/>
      </c>
      <c r="L1863" t="str">
        <f>IF(OR($I1863="Čaká na biznis",$J1863="Biznis",$J1863="Švédsky biznis"),"ÁNO","")</f>
        <v/>
      </c>
      <c r="N1863" s="2"/>
      <c r="O1863" s="3"/>
      <c r="Q1863"/>
      <c r="R1863" s="3"/>
      <c r="S1863" s="3"/>
      <c r="T1863"/>
      <c r="U1863"/>
      <c r="V1863"/>
      <c r="W1863"/>
      <c r="Z1863"/>
      <c r="AA1863"/>
      <c r="AD1863"/>
    </row>
    <row r="1864" spans="11:30" ht="18" customHeight="1">
      <c r="K1864" t="str">
        <f>IF(OR($I1864="Čaká na integráciu",$J1864="Integrácia"),"ÁNO","")</f>
        <v/>
      </c>
      <c r="L1864" t="str">
        <f>IF(OR($I1864="Čaká na biznis",$J1864="Biznis",$J1864="Švédsky biznis"),"ÁNO","")</f>
        <v/>
      </c>
      <c r="N1864" s="2"/>
      <c r="O1864" s="3"/>
      <c r="Q1864"/>
      <c r="R1864" s="3"/>
      <c r="S1864" s="3"/>
      <c r="T1864"/>
      <c r="U1864"/>
      <c r="V1864"/>
      <c r="W1864"/>
      <c r="Z1864"/>
      <c r="AA1864"/>
      <c r="AD1864"/>
    </row>
    <row r="1865" spans="11:30" ht="18" customHeight="1">
      <c r="K1865" t="str">
        <f>IF(OR($I1865="Čaká na integráciu",$J1865="Integrácia"),"ÁNO","")</f>
        <v/>
      </c>
      <c r="L1865" t="str">
        <f>IF(OR($I1865="Čaká na biznis",$J1865="Biznis",$J1865="Švédsky biznis"),"ÁNO","")</f>
        <v/>
      </c>
      <c r="N1865" s="2"/>
      <c r="O1865" s="3"/>
      <c r="Q1865"/>
      <c r="R1865" s="3"/>
      <c r="S1865" s="3"/>
      <c r="T1865"/>
      <c r="U1865"/>
      <c r="V1865"/>
      <c r="W1865"/>
      <c r="Z1865"/>
      <c r="AA1865"/>
      <c r="AD1865"/>
    </row>
    <row r="1866" spans="11:30" ht="18" customHeight="1">
      <c r="K1866" t="str">
        <f>IF(OR($I1866="Čaká na integráciu",$J1866="Integrácia"),"ÁNO","")</f>
        <v/>
      </c>
      <c r="L1866" t="str">
        <f>IF(OR($I1866="Čaká na biznis",$J1866="Biznis",$J1866="Švédsky biznis"),"ÁNO","")</f>
        <v/>
      </c>
      <c r="N1866" s="2"/>
      <c r="O1866" s="3"/>
      <c r="Q1866"/>
      <c r="R1866" s="3"/>
      <c r="S1866" s="3"/>
      <c r="T1866"/>
      <c r="U1866"/>
      <c r="V1866"/>
      <c r="W1866"/>
      <c r="Z1866"/>
      <c r="AA1866"/>
      <c r="AD1866"/>
    </row>
    <row r="1867" spans="11:30" ht="18" customHeight="1">
      <c r="K1867" t="str">
        <f>IF(OR($I1867="Čaká na integráciu",$J1867="Integrácia"),"ÁNO","")</f>
        <v/>
      </c>
      <c r="L1867" t="str">
        <f>IF(OR($I1867="Čaká na biznis",$J1867="Biznis",$J1867="Švédsky biznis"),"ÁNO","")</f>
        <v/>
      </c>
      <c r="N1867" s="2"/>
      <c r="O1867" s="3"/>
      <c r="Q1867"/>
      <c r="R1867" s="3"/>
      <c r="S1867" s="3"/>
      <c r="T1867"/>
      <c r="U1867"/>
      <c r="V1867"/>
      <c r="W1867"/>
      <c r="Z1867"/>
      <c r="AA1867"/>
      <c r="AD1867"/>
    </row>
    <row r="1868" spans="11:30" ht="18" customHeight="1">
      <c r="K1868" t="str">
        <f>IF(OR($I1868="Čaká na integráciu",$J1868="Integrácia"),"ÁNO","")</f>
        <v/>
      </c>
      <c r="L1868" t="str">
        <f>IF(OR($I1868="Čaká na biznis",$J1868="Biznis",$J1868="Švédsky biznis"),"ÁNO","")</f>
        <v/>
      </c>
      <c r="N1868" s="2"/>
      <c r="O1868" s="3"/>
      <c r="Q1868"/>
      <c r="R1868" s="3"/>
      <c r="S1868" s="3"/>
      <c r="T1868"/>
      <c r="U1868"/>
      <c r="V1868"/>
      <c r="W1868"/>
      <c r="Z1868"/>
      <c r="AA1868"/>
      <c r="AD1868"/>
    </row>
    <row r="1869" spans="11:30" ht="18" customHeight="1">
      <c r="K1869" t="str">
        <f>IF(OR($I1869="Čaká na integráciu",$J1869="Integrácia"),"ÁNO","")</f>
        <v/>
      </c>
      <c r="L1869" t="str">
        <f>IF(OR($I1869="Čaká na biznis",$J1869="Biznis",$J1869="Švédsky biznis"),"ÁNO","")</f>
        <v/>
      </c>
      <c r="N1869" s="2"/>
      <c r="O1869" s="3"/>
      <c r="Q1869"/>
      <c r="R1869" s="3"/>
      <c r="S1869" s="3"/>
      <c r="T1869"/>
      <c r="U1869"/>
      <c r="V1869"/>
      <c r="W1869"/>
      <c r="Z1869"/>
      <c r="AA1869"/>
      <c r="AD1869"/>
    </row>
    <row r="1870" spans="11:30" ht="18" customHeight="1">
      <c r="K1870" t="str">
        <f>IF(OR($I1870="Čaká na integráciu",$J1870="Integrácia"),"ÁNO","")</f>
        <v/>
      </c>
      <c r="L1870" t="str">
        <f>IF(OR($I1870="Čaká na biznis",$J1870="Biznis",$J1870="Švédsky biznis"),"ÁNO","")</f>
        <v/>
      </c>
      <c r="N1870" s="2"/>
      <c r="O1870" s="3"/>
      <c r="Q1870"/>
      <c r="R1870" s="3"/>
      <c r="S1870" s="3"/>
      <c r="T1870"/>
      <c r="U1870"/>
      <c r="V1870"/>
      <c r="W1870"/>
      <c r="Z1870"/>
      <c r="AA1870"/>
      <c r="AD1870"/>
    </row>
    <row r="1871" spans="11:30" ht="18" customHeight="1">
      <c r="K1871" t="str">
        <f>IF(OR($I1871="Čaká na integráciu",$J1871="Integrácia"),"ÁNO","")</f>
        <v/>
      </c>
      <c r="L1871" t="str">
        <f>IF(OR($I1871="Čaká na biznis",$J1871="Biznis",$J1871="Švédsky biznis"),"ÁNO","")</f>
        <v/>
      </c>
      <c r="N1871" s="2"/>
      <c r="O1871" s="3"/>
      <c r="Q1871"/>
      <c r="R1871" s="3"/>
      <c r="S1871" s="3"/>
      <c r="T1871"/>
      <c r="U1871"/>
      <c r="V1871"/>
      <c r="W1871"/>
      <c r="Z1871"/>
      <c r="AA1871"/>
      <c r="AD1871"/>
    </row>
    <row r="1872" spans="11:30" ht="18" customHeight="1">
      <c r="K1872" t="str">
        <f>IF(OR($I1872="Čaká na integráciu",$J1872="Integrácia"),"ÁNO","")</f>
        <v/>
      </c>
      <c r="L1872" t="str">
        <f>IF(OR($I1872="Čaká na biznis",$J1872="Biznis",$J1872="Švédsky biznis"),"ÁNO","")</f>
        <v/>
      </c>
      <c r="N1872" s="2"/>
      <c r="O1872" s="3"/>
      <c r="Q1872"/>
      <c r="R1872" s="3"/>
      <c r="S1872" s="3"/>
      <c r="T1872"/>
      <c r="U1872"/>
      <c r="V1872"/>
      <c r="W1872"/>
      <c r="Z1872"/>
      <c r="AA1872"/>
      <c r="AD1872"/>
    </row>
    <row r="1873" spans="11:30" ht="18" customHeight="1">
      <c r="K1873" t="str">
        <f>IF(OR($I1873="Čaká na integráciu",$J1873="Integrácia"),"ÁNO","")</f>
        <v/>
      </c>
      <c r="L1873" t="str">
        <f>IF(OR($I1873="Čaká na biznis",$J1873="Biznis",$J1873="Švédsky biznis"),"ÁNO","")</f>
        <v/>
      </c>
      <c r="N1873" s="2"/>
      <c r="O1873" s="3"/>
      <c r="Q1873"/>
      <c r="R1873" s="3"/>
      <c r="S1873" s="3"/>
      <c r="T1873"/>
      <c r="U1873"/>
      <c r="V1873"/>
      <c r="W1873"/>
      <c r="Z1873"/>
      <c r="AA1873"/>
      <c r="AD1873"/>
    </row>
    <row r="1874" spans="11:30" ht="18" customHeight="1">
      <c r="K1874" t="str">
        <f>IF(OR($I1874="Čaká na integráciu",$J1874="Integrácia"),"ÁNO","")</f>
        <v/>
      </c>
      <c r="L1874" t="str">
        <f>IF(OR($I1874="Čaká na biznis",$J1874="Biznis",$J1874="Švédsky biznis"),"ÁNO","")</f>
        <v/>
      </c>
      <c r="N1874" s="2"/>
      <c r="O1874" s="3"/>
      <c r="Q1874"/>
      <c r="R1874" s="3"/>
      <c r="S1874" s="3"/>
      <c r="T1874"/>
      <c r="U1874"/>
      <c r="V1874"/>
      <c r="W1874"/>
      <c r="Z1874"/>
      <c r="AA1874"/>
      <c r="AD1874"/>
    </row>
    <row r="1875" spans="11:30" ht="18" customHeight="1">
      <c r="K1875" t="str">
        <f>IF(OR($I1875="Čaká na integráciu",$J1875="Integrácia"),"ÁNO","")</f>
        <v/>
      </c>
      <c r="L1875" t="str">
        <f>IF(OR($I1875="Čaká na biznis",$J1875="Biznis",$J1875="Švédsky biznis"),"ÁNO","")</f>
        <v/>
      </c>
      <c r="N1875" s="2"/>
      <c r="O1875" s="3"/>
      <c r="Q1875"/>
      <c r="R1875" s="3"/>
      <c r="S1875" s="3"/>
      <c r="T1875"/>
      <c r="U1875"/>
      <c r="V1875"/>
      <c r="W1875"/>
      <c r="Z1875"/>
      <c r="AA1875"/>
      <c r="AD1875"/>
    </row>
    <row r="1876" spans="11:30" ht="18" customHeight="1">
      <c r="K1876" t="str">
        <f>IF(OR($I1876="Čaká na integráciu",$J1876="Integrácia"),"ÁNO","")</f>
        <v/>
      </c>
      <c r="L1876" t="str">
        <f>IF(OR($I1876="Čaká na biznis",$J1876="Biznis",$J1876="Švédsky biznis"),"ÁNO","")</f>
        <v/>
      </c>
      <c r="N1876" s="2"/>
      <c r="O1876" s="3"/>
      <c r="Q1876"/>
      <c r="R1876" s="3"/>
      <c r="S1876" s="3"/>
      <c r="T1876"/>
      <c r="U1876"/>
      <c r="V1876"/>
      <c r="W1876"/>
      <c r="Z1876"/>
      <c r="AA1876"/>
      <c r="AD1876"/>
    </row>
    <row r="1877" spans="11:30" ht="18" customHeight="1">
      <c r="K1877" t="str">
        <f>IF(OR($I1877="Čaká na integráciu",$J1877="Integrácia"),"ÁNO","")</f>
        <v/>
      </c>
      <c r="L1877" t="str">
        <f>IF(OR($I1877="Čaká na biznis",$J1877="Biznis",$J1877="Švédsky biznis"),"ÁNO","")</f>
        <v/>
      </c>
      <c r="N1877" s="2"/>
      <c r="O1877" s="3"/>
      <c r="Q1877"/>
      <c r="R1877" s="3"/>
      <c r="S1877" s="3"/>
      <c r="T1877"/>
      <c r="U1877"/>
      <c r="V1877"/>
      <c r="W1877"/>
      <c r="Z1877"/>
      <c r="AA1877"/>
      <c r="AD1877"/>
    </row>
    <row r="1878" spans="11:30" ht="18" customHeight="1">
      <c r="K1878" t="str">
        <f>IF(OR($I1878="Čaká na integráciu",$J1878="Integrácia"),"ÁNO","")</f>
        <v/>
      </c>
      <c r="L1878" t="str">
        <f>IF(OR($I1878="Čaká na biznis",$J1878="Biznis",$J1878="Švédsky biznis"),"ÁNO","")</f>
        <v/>
      </c>
      <c r="N1878" s="2"/>
      <c r="O1878" s="3"/>
      <c r="Q1878"/>
      <c r="R1878" s="3"/>
      <c r="S1878" s="3"/>
      <c r="T1878"/>
      <c r="U1878"/>
      <c r="V1878"/>
      <c r="W1878"/>
      <c r="Z1878"/>
      <c r="AA1878"/>
      <c r="AD1878"/>
    </row>
    <row r="1879" spans="11:30" ht="18" customHeight="1">
      <c r="K1879" t="str">
        <f>IF(OR($I1879="Čaká na integráciu",$J1879="Integrácia"),"ÁNO","")</f>
        <v/>
      </c>
      <c r="L1879" t="str">
        <f>IF(OR($I1879="Čaká na biznis",$J1879="Biznis",$J1879="Švédsky biznis"),"ÁNO","")</f>
        <v/>
      </c>
      <c r="N1879" s="2"/>
      <c r="O1879" s="3"/>
      <c r="Q1879"/>
      <c r="R1879" s="3"/>
      <c r="S1879" s="3"/>
      <c r="T1879"/>
      <c r="U1879"/>
      <c r="V1879"/>
      <c r="W1879"/>
      <c r="Z1879"/>
      <c r="AA1879"/>
      <c r="AD1879"/>
    </row>
    <row r="1880" spans="11:30" ht="18" customHeight="1">
      <c r="K1880" t="str">
        <f>IF(OR($I1880="Čaká na integráciu",$J1880="Integrácia"),"ÁNO","")</f>
        <v/>
      </c>
      <c r="L1880" t="str">
        <f>IF(OR($I1880="Čaká na biznis",$J1880="Biznis",$J1880="Švédsky biznis"),"ÁNO","")</f>
        <v/>
      </c>
      <c r="N1880" s="2"/>
      <c r="O1880" s="3"/>
      <c r="Q1880"/>
      <c r="R1880" s="3"/>
      <c r="S1880" s="3"/>
      <c r="T1880"/>
      <c r="U1880"/>
      <c r="V1880"/>
      <c r="W1880"/>
      <c r="Z1880"/>
      <c r="AA1880"/>
      <c r="AD1880"/>
    </row>
    <row r="1881" spans="11:30" ht="18" customHeight="1">
      <c r="K1881" t="str">
        <f>IF(OR($I1881="Čaká na integráciu",$J1881="Integrácia"),"ÁNO","")</f>
        <v/>
      </c>
      <c r="L1881" t="str">
        <f>IF(OR($I1881="Čaká na biznis",$J1881="Biznis",$J1881="Švédsky biznis"),"ÁNO","")</f>
        <v/>
      </c>
      <c r="N1881" s="2"/>
      <c r="O1881" s="3"/>
      <c r="Q1881"/>
      <c r="R1881" s="3"/>
      <c r="S1881" s="3"/>
      <c r="T1881"/>
      <c r="U1881"/>
      <c r="V1881"/>
      <c r="W1881"/>
      <c r="Z1881"/>
      <c r="AA1881"/>
      <c r="AD1881"/>
    </row>
    <row r="1882" spans="11:30" ht="18" customHeight="1">
      <c r="K1882" t="str">
        <f>IF(OR($I1882="Čaká na integráciu",$J1882="Integrácia"),"ÁNO","")</f>
        <v/>
      </c>
      <c r="L1882" t="str">
        <f>IF(OR($I1882="Čaká na biznis",$J1882="Biznis",$J1882="Švédsky biznis"),"ÁNO","")</f>
        <v/>
      </c>
      <c r="N1882" s="2"/>
      <c r="O1882" s="3"/>
      <c r="Q1882"/>
      <c r="R1882" s="3"/>
      <c r="S1882" s="3"/>
      <c r="T1882"/>
      <c r="U1882"/>
      <c r="V1882"/>
      <c r="W1882"/>
      <c r="Z1882"/>
      <c r="AA1882"/>
      <c r="AD1882"/>
    </row>
    <row r="1883" spans="11:30" ht="18" customHeight="1">
      <c r="K1883" t="str">
        <f>IF(OR($I1883="Čaká na integráciu",$J1883="Integrácia"),"ÁNO","")</f>
        <v/>
      </c>
      <c r="L1883" t="str">
        <f>IF(OR($I1883="Čaká na biznis",$J1883="Biznis",$J1883="Švédsky biznis"),"ÁNO","")</f>
        <v/>
      </c>
      <c r="N1883" s="2"/>
      <c r="O1883" s="3"/>
      <c r="Q1883"/>
      <c r="R1883" s="3"/>
      <c r="S1883" s="3"/>
      <c r="T1883"/>
      <c r="U1883"/>
      <c r="V1883"/>
      <c r="W1883"/>
      <c r="Z1883"/>
      <c r="AA1883"/>
      <c r="AD1883"/>
    </row>
    <row r="1884" spans="11:30" ht="18" customHeight="1">
      <c r="K1884" t="str">
        <f>IF(OR($I1884="Čaká na integráciu",$J1884="Integrácia"),"ÁNO","")</f>
        <v/>
      </c>
      <c r="L1884" t="str">
        <f>IF(OR($I1884="Čaká na biznis",$J1884="Biznis",$J1884="Švédsky biznis"),"ÁNO","")</f>
        <v/>
      </c>
      <c r="N1884" s="2"/>
      <c r="O1884" s="3"/>
      <c r="Q1884"/>
      <c r="R1884" s="3"/>
      <c r="S1884" s="3"/>
      <c r="T1884"/>
      <c r="U1884"/>
      <c r="V1884"/>
      <c r="W1884"/>
      <c r="Z1884"/>
      <c r="AA1884"/>
      <c r="AD1884"/>
    </row>
    <row r="1885" spans="11:30" ht="18" customHeight="1">
      <c r="K1885" t="str">
        <f>IF(OR($I1885="Čaká na integráciu",$J1885="Integrácia"),"ÁNO","")</f>
        <v/>
      </c>
      <c r="L1885" t="str">
        <f>IF(OR($I1885="Čaká na biznis",$J1885="Biznis",$J1885="Švédsky biznis"),"ÁNO","")</f>
        <v/>
      </c>
      <c r="N1885" s="2"/>
      <c r="O1885" s="3"/>
      <c r="Q1885"/>
      <c r="R1885" s="3"/>
      <c r="S1885" s="3"/>
      <c r="T1885"/>
      <c r="U1885"/>
      <c r="V1885"/>
      <c r="W1885"/>
      <c r="Z1885"/>
      <c r="AA1885"/>
      <c r="AD1885"/>
    </row>
    <row r="1886" spans="11:30" ht="18" customHeight="1">
      <c r="K1886" t="str">
        <f>IF(OR($I1886="Čaká na integráciu",$J1886="Integrácia"),"ÁNO","")</f>
        <v/>
      </c>
      <c r="L1886" t="str">
        <f>IF(OR($I1886="Čaká na biznis",$J1886="Biznis",$J1886="Švédsky biznis"),"ÁNO","")</f>
        <v/>
      </c>
      <c r="N1886" s="2"/>
      <c r="O1886" s="3"/>
      <c r="Q1886"/>
      <c r="R1886" s="3"/>
      <c r="S1886" s="3"/>
      <c r="T1886"/>
      <c r="U1886"/>
      <c r="V1886"/>
      <c r="W1886"/>
      <c r="Z1886"/>
      <c r="AA1886"/>
      <c r="AD1886"/>
    </row>
    <row r="1887" spans="11:30" ht="18" customHeight="1">
      <c r="K1887" t="str">
        <f>IF(OR($I1887="Čaká na integráciu",$J1887="Integrácia"),"ÁNO","")</f>
        <v/>
      </c>
      <c r="L1887" t="str">
        <f>IF(OR($I1887="Čaká na biznis",$J1887="Biznis",$J1887="Švédsky biznis"),"ÁNO","")</f>
        <v/>
      </c>
      <c r="N1887" s="2"/>
      <c r="O1887" s="3"/>
      <c r="Q1887"/>
      <c r="R1887" s="3"/>
      <c r="S1887" s="3"/>
      <c r="T1887"/>
      <c r="U1887"/>
      <c r="V1887"/>
      <c r="W1887"/>
      <c r="Z1887"/>
      <c r="AA1887"/>
      <c r="AD1887"/>
    </row>
    <row r="1888" spans="11:30" ht="18" customHeight="1">
      <c r="K1888" t="str">
        <f>IF(OR($I1888="Čaká na integráciu",$J1888="Integrácia"),"ÁNO","")</f>
        <v/>
      </c>
      <c r="L1888" t="str">
        <f>IF(OR($I1888="Čaká na biznis",$J1888="Biznis",$J1888="Švédsky biznis"),"ÁNO","")</f>
        <v/>
      </c>
      <c r="N1888" s="2"/>
      <c r="O1888" s="3"/>
      <c r="Q1888"/>
      <c r="R1888" s="3"/>
      <c r="S1888" s="3"/>
      <c r="T1888"/>
      <c r="U1888"/>
      <c r="V1888"/>
      <c r="W1888"/>
      <c r="Z1888"/>
      <c r="AA1888"/>
      <c r="AD1888"/>
    </row>
    <row r="1889" spans="11:30" ht="18" customHeight="1">
      <c r="K1889" t="str">
        <f>IF(OR($I1889="Čaká na integráciu",$J1889="Integrácia"),"ÁNO","")</f>
        <v/>
      </c>
      <c r="L1889" t="str">
        <f>IF(OR($I1889="Čaká na biznis",$J1889="Biznis",$J1889="Švédsky biznis"),"ÁNO","")</f>
        <v/>
      </c>
      <c r="N1889" s="2"/>
      <c r="O1889" s="3"/>
      <c r="Q1889"/>
      <c r="R1889" s="3"/>
      <c r="S1889" s="3"/>
      <c r="T1889"/>
      <c r="U1889"/>
      <c r="V1889"/>
      <c r="W1889"/>
      <c r="Z1889"/>
      <c r="AA1889"/>
      <c r="AD1889"/>
    </row>
    <row r="1890" spans="11:30" ht="18" customHeight="1">
      <c r="K1890" t="str">
        <f>IF(OR($I1890="Čaká na integráciu",$J1890="Integrácia"),"ÁNO","")</f>
        <v/>
      </c>
      <c r="L1890" t="str">
        <f>IF(OR($I1890="Čaká na biznis",$J1890="Biznis",$J1890="Švédsky biznis"),"ÁNO","")</f>
        <v/>
      </c>
      <c r="N1890" s="2"/>
      <c r="O1890" s="3"/>
      <c r="Q1890"/>
      <c r="R1890" s="3"/>
      <c r="S1890" s="3"/>
      <c r="T1890"/>
      <c r="U1890"/>
      <c r="V1890"/>
      <c r="W1890"/>
      <c r="Z1890"/>
      <c r="AA1890"/>
      <c r="AD1890"/>
    </row>
    <row r="1891" spans="11:30" ht="18" customHeight="1">
      <c r="K1891" t="str">
        <f>IF(OR($I1891="Čaká na integráciu",$J1891="Integrácia"),"ÁNO","")</f>
        <v/>
      </c>
      <c r="L1891" t="str">
        <f>IF(OR($I1891="Čaká na biznis",$J1891="Biznis",$J1891="Švédsky biznis"),"ÁNO","")</f>
        <v/>
      </c>
      <c r="N1891" s="2"/>
      <c r="O1891" s="3"/>
      <c r="Q1891"/>
      <c r="R1891" s="3"/>
      <c r="S1891" s="3"/>
      <c r="T1891"/>
      <c r="U1891"/>
      <c r="V1891"/>
      <c r="W1891"/>
      <c r="Z1891"/>
      <c r="AA1891"/>
      <c r="AD1891"/>
    </row>
    <row r="1892" spans="11:30" ht="18" customHeight="1">
      <c r="K1892" t="str">
        <f>IF(OR($I1892="Čaká na integráciu",$J1892="Integrácia"),"ÁNO","")</f>
        <v/>
      </c>
      <c r="L1892" t="str">
        <f>IF(OR($I1892="Čaká na biznis",$J1892="Biznis",$J1892="Švédsky biznis"),"ÁNO","")</f>
        <v/>
      </c>
      <c r="N1892" s="2"/>
      <c r="O1892" s="3"/>
      <c r="Q1892"/>
      <c r="R1892" s="3"/>
      <c r="S1892" s="3"/>
      <c r="T1892"/>
      <c r="U1892"/>
      <c r="V1892"/>
      <c r="W1892"/>
      <c r="Z1892"/>
      <c r="AA1892"/>
      <c r="AD1892"/>
    </row>
    <row r="1893" spans="11:30" ht="18" customHeight="1">
      <c r="K1893" t="str">
        <f>IF(OR($I1893="Čaká na integráciu",$J1893="Integrácia"),"ÁNO","")</f>
        <v/>
      </c>
      <c r="L1893" t="str">
        <f>IF(OR($I1893="Čaká na biznis",$J1893="Biznis",$J1893="Švédsky biznis"),"ÁNO","")</f>
        <v/>
      </c>
      <c r="N1893" s="2"/>
      <c r="O1893" s="3"/>
      <c r="Q1893"/>
      <c r="R1893" s="3"/>
      <c r="S1893" s="3"/>
      <c r="T1893"/>
      <c r="U1893"/>
      <c r="V1893"/>
      <c r="W1893"/>
      <c r="Z1893"/>
      <c r="AA1893"/>
      <c r="AD1893"/>
    </row>
    <row r="1894" spans="11:30" ht="18" customHeight="1">
      <c r="K1894" t="str">
        <f>IF(OR($I1894="Čaká na integráciu",$J1894="Integrácia"),"ÁNO","")</f>
        <v/>
      </c>
      <c r="L1894" t="str">
        <f>IF(OR($I1894="Čaká na biznis",$J1894="Biznis",$J1894="Švédsky biznis"),"ÁNO","")</f>
        <v/>
      </c>
      <c r="N1894" s="2"/>
      <c r="O1894" s="3"/>
      <c r="Q1894"/>
      <c r="R1894" s="3"/>
      <c r="S1894" s="3"/>
      <c r="T1894"/>
      <c r="U1894"/>
      <c r="V1894"/>
      <c r="W1894"/>
      <c r="Z1894"/>
      <c r="AA1894"/>
      <c r="AD1894"/>
    </row>
    <row r="1895" spans="11:30" ht="18" customHeight="1">
      <c r="K1895" t="str">
        <f>IF(OR($I1895="Čaká na integráciu",$J1895="Integrácia"),"ÁNO","")</f>
        <v/>
      </c>
      <c r="L1895" t="str">
        <f>IF(OR($I1895="Čaká na biznis",$J1895="Biznis",$J1895="Švédsky biznis"),"ÁNO","")</f>
        <v/>
      </c>
      <c r="N1895" s="2"/>
      <c r="O1895" s="3"/>
      <c r="Q1895"/>
      <c r="R1895" s="3"/>
      <c r="S1895" s="3"/>
      <c r="T1895"/>
      <c r="U1895"/>
      <c r="V1895"/>
      <c r="W1895"/>
      <c r="Z1895"/>
      <c r="AA1895"/>
      <c r="AD1895"/>
    </row>
    <row r="1896" spans="11:30" ht="18" customHeight="1">
      <c r="K1896" t="str">
        <f>IF(OR($I1896="Čaká na integráciu",$J1896="Integrácia"),"ÁNO","")</f>
        <v/>
      </c>
      <c r="L1896" t="str">
        <f>IF(OR($I1896="Čaká na biznis",$J1896="Biznis",$J1896="Švédsky biznis"),"ÁNO","")</f>
        <v/>
      </c>
      <c r="N1896" s="2"/>
      <c r="O1896" s="3"/>
      <c r="Q1896"/>
      <c r="R1896" s="3"/>
      <c r="S1896" s="3"/>
      <c r="T1896"/>
      <c r="U1896"/>
      <c r="V1896"/>
      <c r="W1896"/>
      <c r="Z1896"/>
      <c r="AA1896"/>
      <c r="AD1896"/>
    </row>
    <row r="1897" spans="11:30" ht="18" customHeight="1">
      <c r="K1897" t="str">
        <f>IF(OR($I1897="Čaká na integráciu",$J1897="Integrácia"),"ÁNO","")</f>
        <v/>
      </c>
      <c r="L1897" t="str">
        <f>IF(OR($I1897="Čaká na biznis",$J1897="Biznis",$J1897="Švédsky biznis"),"ÁNO","")</f>
        <v/>
      </c>
      <c r="N1897" s="2"/>
      <c r="O1897" s="3"/>
      <c r="Q1897"/>
      <c r="R1897" s="3"/>
      <c r="S1897" s="3"/>
      <c r="T1897"/>
      <c r="U1897"/>
      <c r="V1897"/>
      <c r="W1897"/>
      <c r="Z1897"/>
      <c r="AA1897"/>
      <c r="AD1897"/>
    </row>
    <row r="1898" spans="11:30" ht="18" customHeight="1">
      <c r="K1898" t="str">
        <f>IF(OR($I1898="Čaká na integráciu",$J1898="Integrácia"),"ÁNO","")</f>
        <v/>
      </c>
      <c r="L1898" t="str">
        <f>IF(OR($I1898="Čaká na biznis",$J1898="Biznis",$J1898="Švédsky biznis"),"ÁNO","")</f>
        <v/>
      </c>
      <c r="N1898" s="2"/>
      <c r="O1898" s="3"/>
      <c r="Q1898"/>
      <c r="R1898" s="3"/>
      <c r="S1898" s="3"/>
      <c r="T1898"/>
      <c r="U1898"/>
      <c r="V1898"/>
      <c r="W1898"/>
      <c r="Z1898"/>
      <c r="AA1898"/>
      <c r="AD1898"/>
    </row>
    <row r="1899" spans="11:30" ht="18" customHeight="1">
      <c r="K1899" t="str">
        <f>IF(OR($I1899="Čaká na integráciu",$J1899="Integrácia"),"ÁNO","")</f>
        <v/>
      </c>
      <c r="L1899" t="str">
        <f>IF(OR($I1899="Čaká na biznis",$J1899="Biznis",$J1899="Švédsky biznis"),"ÁNO","")</f>
        <v/>
      </c>
      <c r="N1899" s="2"/>
      <c r="O1899" s="3"/>
      <c r="Q1899"/>
      <c r="R1899" s="3"/>
      <c r="S1899" s="3"/>
      <c r="T1899"/>
      <c r="U1899"/>
      <c r="V1899"/>
      <c r="W1899"/>
      <c r="Z1899"/>
      <c r="AA1899"/>
      <c r="AD1899"/>
    </row>
    <row r="1900" spans="11:30" ht="18" customHeight="1">
      <c r="K1900" t="str">
        <f>IF(OR($I1900="Čaká na integráciu",$J1900="Integrácia"),"ÁNO","")</f>
        <v/>
      </c>
      <c r="L1900" t="str">
        <f>IF(OR($I1900="Čaká na biznis",$J1900="Biznis",$J1900="Švédsky biznis"),"ÁNO","")</f>
        <v/>
      </c>
      <c r="N1900" s="2"/>
      <c r="O1900" s="3"/>
      <c r="Q1900"/>
      <c r="R1900" s="3"/>
      <c r="S1900" s="3"/>
      <c r="T1900"/>
      <c r="U1900"/>
      <c r="V1900"/>
      <c r="W1900"/>
      <c r="Z1900"/>
      <c r="AA1900"/>
      <c r="AD1900"/>
    </row>
    <row r="1901" spans="11:30" ht="18" customHeight="1">
      <c r="K1901" t="str">
        <f>IF(OR($I1901="Čaká na integráciu",$J1901="Integrácia"),"ÁNO","")</f>
        <v/>
      </c>
      <c r="L1901" t="str">
        <f>IF(OR($I1901="Čaká na biznis",$J1901="Biznis",$J1901="Švédsky biznis"),"ÁNO","")</f>
        <v/>
      </c>
      <c r="N1901" s="2"/>
      <c r="O1901" s="3"/>
      <c r="Q1901"/>
      <c r="R1901" s="3"/>
      <c r="S1901" s="3"/>
      <c r="T1901"/>
      <c r="U1901"/>
      <c r="V1901"/>
      <c r="W1901"/>
      <c r="Z1901"/>
      <c r="AA1901"/>
      <c r="AD1901"/>
    </row>
    <row r="1902" spans="11:30" ht="18" customHeight="1">
      <c r="K1902" t="str">
        <f>IF(OR($I1902="Čaká na integráciu",$J1902="Integrácia"),"ÁNO","")</f>
        <v/>
      </c>
      <c r="L1902" t="str">
        <f>IF(OR($I1902="Čaká na biznis",$J1902="Biznis",$J1902="Švédsky biznis"),"ÁNO","")</f>
        <v/>
      </c>
      <c r="N1902" s="2"/>
      <c r="O1902" s="3"/>
      <c r="Q1902"/>
      <c r="R1902" s="3"/>
      <c r="S1902" s="3"/>
      <c r="T1902"/>
      <c r="U1902"/>
      <c r="V1902"/>
      <c r="W1902"/>
      <c r="Z1902"/>
      <c r="AA1902"/>
      <c r="AD1902"/>
    </row>
    <row r="1903" spans="11:30" ht="18" customHeight="1">
      <c r="K1903" t="str">
        <f>IF(OR($I1903="Čaká na integráciu",$J1903="Integrácia"),"ÁNO","")</f>
        <v/>
      </c>
      <c r="L1903" t="str">
        <f>IF(OR($I1903="Čaká na biznis",$J1903="Biznis",$J1903="Švédsky biznis"),"ÁNO","")</f>
        <v/>
      </c>
      <c r="N1903" s="2"/>
      <c r="O1903" s="3"/>
      <c r="Q1903"/>
      <c r="R1903" s="3"/>
      <c r="S1903" s="3"/>
      <c r="T1903"/>
      <c r="U1903"/>
      <c r="V1903"/>
      <c r="W1903"/>
      <c r="Z1903"/>
      <c r="AA1903"/>
      <c r="AD1903"/>
    </row>
    <row r="1904" spans="11:30" ht="18" customHeight="1">
      <c r="K1904" t="str">
        <f>IF(OR($I1904="Čaká na integráciu",$J1904="Integrácia"),"ÁNO","")</f>
        <v/>
      </c>
      <c r="L1904" t="str">
        <f>IF(OR($I1904="Čaká na biznis",$J1904="Biznis",$J1904="Švédsky biznis"),"ÁNO","")</f>
        <v/>
      </c>
      <c r="N1904" s="2"/>
      <c r="O1904" s="3"/>
      <c r="Q1904"/>
      <c r="R1904" s="3"/>
      <c r="S1904" s="3"/>
      <c r="T1904"/>
      <c r="U1904"/>
      <c r="V1904"/>
      <c r="W1904"/>
      <c r="Z1904"/>
      <c r="AA1904"/>
      <c r="AD1904"/>
    </row>
    <row r="1905" spans="11:30" ht="18" customHeight="1">
      <c r="K1905" t="str">
        <f>IF(OR($I1905="Čaká na integráciu",$J1905="Integrácia"),"ÁNO","")</f>
        <v/>
      </c>
      <c r="L1905" t="str">
        <f>IF(OR($I1905="Čaká na biznis",$J1905="Biznis",$J1905="Švédsky biznis"),"ÁNO","")</f>
        <v/>
      </c>
      <c r="N1905" s="2"/>
      <c r="O1905" s="3"/>
      <c r="Q1905"/>
      <c r="R1905" s="3"/>
      <c r="S1905" s="3"/>
      <c r="T1905"/>
      <c r="U1905"/>
      <c r="V1905"/>
      <c r="W1905"/>
      <c r="Z1905"/>
      <c r="AA1905"/>
      <c r="AD1905"/>
    </row>
    <row r="1906" spans="11:30" ht="18" customHeight="1">
      <c r="K1906" t="str">
        <f>IF(OR($I1906="Čaká na integráciu",$J1906="Integrácia"),"ÁNO","")</f>
        <v/>
      </c>
      <c r="L1906" t="str">
        <f>IF(OR($I1906="Čaká na biznis",$J1906="Biznis",$J1906="Švédsky biznis"),"ÁNO","")</f>
        <v/>
      </c>
      <c r="N1906" s="2"/>
      <c r="O1906" s="3"/>
      <c r="Q1906"/>
      <c r="R1906" s="3"/>
      <c r="S1906" s="3"/>
      <c r="T1906"/>
      <c r="U1906"/>
      <c r="V1906"/>
      <c r="W1906"/>
      <c r="Z1906"/>
      <c r="AA1906"/>
      <c r="AD1906"/>
    </row>
    <row r="1907" spans="11:30" ht="18" customHeight="1">
      <c r="K1907" t="str">
        <f>IF(OR($I1907="Čaká na integráciu",$J1907="Integrácia"),"ÁNO","")</f>
        <v/>
      </c>
      <c r="L1907" t="str">
        <f>IF(OR($I1907="Čaká na biznis",$J1907="Biznis",$J1907="Švédsky biznis"),"ÁNO","")</f>
        <v/>
      </c>
      <c r="N1907" s="2"/>
      <c r="O1907" s="3"/>
      <c r="Q1907"/>
      <c r="R1907" s="3"/>
      <c r="S1907" s="3"/>
      <c r="T1907"/>
      <c r="U1907"/>
      <c r="V1907"/>
      <c r="W1907"/>
      <c r="Z1907"/>
      <c r="AA1907"/>
      <c r="AD1907"/>
    </row>
    <row r="1908" spans="11:30" ht="18" customHeight="1">
      <c r="K1908" t="str">
        <f>IF(OR($I1908="Čaká na integráciu",$J1908="Integrácia"),"ÁNO","")</f>
        <v/>
      </c>
      <c r="L1908" t="str">
        <f>IF(OR($I1908="Čaká na biznis",$J1908="Biznis",$J1908="Švédsky biznis"),"ÁNO","")</f>
        <v/>
      </c>
      <c r="N1908" s="2"/>
      <c r="O1908" s="3"/>
      <c r="Q1908"/>
      <c r="R1908" s="3"/>
      <c r="S1908" s="3"/>
      <c r="T1908"/>
      <c r="U1908"/>
      <c r="V1908"/>
      <c r="W1908"/>
      <c r="Z1908"/>
      <c r="AA1908"/>
      <c r="AD1908"/>
    </row>
    <row r="1909" spans="11:30" ht="18" customHeight="1">
      <c r="K1909" t="str">
        <f>IF(OR($I1909="Čaká na integráciu",$J1909="Integrácia"),"ÁNO","")</f>
        <v/>
      </c>
      <c r="L1909" t="str">
        <f>IF(OR($I1909="Čaká na biznis",$J1909="Biznis",$J1909="Švédsky biznis"),"ÁNO","")</f>
        <v/>
      </c>
      <c r="N1909" s="2"/>
      <c r="O1909" s="3"/>
      <c r="Q1909"/>
      <c r="R1909" s="3"/>
      <c r="S1909" s="3"/>
      <c r="T1909"/>
      <c r="U1909"/>
      <c r="V1909"/>
      <c r="W1909"/>
      <c r="Z1909"/>
      <c r="AA1909"/>
      <c r="AD1909"/>
    </row>
    <row r="1910" spans="11:30" ht="18" customHeight="1">
      <c r="K1910" t="str">
        <f>IF(OR($I1910="Čaká na integráciu",$J1910="Integrácia"),"ÁNO","")</f>
        <v/>
      </c>
      <c r="L1910" t="str">
        <f>IF(OR($I1910="Čaká na biznis",$J1910="Biznis",$J1910="Švédsky biznis"),"ÁNO","")</f>
        <v/>
      </c>
      <c r="N1910" s="2"/>
      <c r="O1910" s="3"/>
      <c r="Q1910"/>
      <c r="R1910" s="3"/>
      <c r="S1910" s="3"/>
      <c r="T1910"/>
      <c r="U1910"/>
      <c r="V1910"/>
      <c r="W1910"/>
      <c r="Z1910"/>
      <c r="AA1910"/>
      <c r="AD1910"/>
    </row>
    <row r="1911" spans="11:30" ht="18" customHeight="1">
      <c r="K1911" t="str">
        <f>IF(OR($I1911="Čaká na integráciu",$J1911="Integrácia"),"ÁNO","")</f>
        <v/>
      </c>
      <c r="L1911" t="str">
        <f>IF(OR($I1911="Čaká na biznis",$J1911="Biznis",$J1911="Švédsky biznis"),"ÁNO","")</f>
        <v/>
      </c>
      <c r="N1911" s="2"/>
      <c r="O1911" s="3"/>
      <c r="Q1911"/>
      <c r="R1911" s="3"/>
      <c r="S1911" s="3"/>
      <c r="T1911"/>
      <c r="U1911"/>
      <c r="V1911"/>
      <c r="W1911"/>
      <c r="Z1911"/>
      <c r="AA1911"/>
      <c r="AD1911"/>
    </row>
    <row r="1912" spans="11:30" ht="18" customHeight="1">
      <c r="K1912" t="str">
        <f>IF(OR($I1912="Čaká na integráciu",$J1912="Integrácia"),"ÁNO","")</f>
        <v/>
      </c>
      <c r="L1912" t="str">
        <f>IF(OR($I1912="Čaká na biznis",$J1912="Biznis",$J1912="Švédsky biznis"),"ÁNO","")</f>
        <v/>
      </c>
      <c r="N1912" s="2"/>
      <c r="O1912" s="3"/>
      <c r="Q1912"/>
      <c r="R1912" s="3"/>
      <c r="S1912" s="3"/>
      <c r="T1912"/>
      <c r="U1912"/>
      <c r="V1912"/>
      <c r="W1912"/>
      <c r="Z1912"/>
      <c r="AA1912"/>
      <c r="AD1912"/>
    </row>
    <row r="1913" spans="11:30" ht="18" customHeight="1">
      <c r="K1913" t="str">
        <f>IF(OR($I1913="Čaká na integráciu",$J1913="Integrácia"),"ÁNO","")</f>
        <v/>
      </c>
      <c r="L1913" t="str">
        <f>IF(OR($I1913="Čaká na biznis",$J1913="Biznis",$J1913="Švédsky biznis"),"ÁNO","")</f>
        <v/>
      </c>
      <c r="N1913" s="2"/>
      <c r="O1913" s="3"/>
      <c r="Q1913"/>
      <c r="R1913" s="3"/>
      <c r="S1913" s="3"/>
      <c r="T1913"/>
      <c r="U1913"/>
      <c r="V1913"/>
      <c r="W1913"/>
      <c r="Z1913"/>
      <c r="AA1913"/>
      <c r="AD1913"/>
    </row>
    <row r="1914" spans="11:30" ht="18" customHeight="1">
      <c r="K1914" t="str">
        <f>IF(OR($I1914="Čaká na integráciu",$J1914="Integrácia"),"ÁNO","")</f>
        <v/>
      </c>
      <c r="L1914" t="str">
        <f>IF(OR($I1914="Čaká na biznis",$J1914="Biznis",$J1914="Švédsky biznis"),"ÁNO","")</f>
        <v/>
      </c>
      <c r="N1914" s="2"/>
      <c r="O1914" s="3"/>
      <c r="Q1914"/>
      <c r="R1914" s="3"/>
      <c r="S1914" s="3"/>
      <c r="T1914"/>
      <c r="U1914"/>
      <c r="V1914"/>
      <c r="W1914"/>
      <c r="Z1914"/>
      <c r="AA1914"/>
      <c r="AD1914"/>
    </row>
    <row r="1915" spans="11:30" ht="18" customHeight="1">
      <c r="K1915" t="str">
        <f>IF(OR($I1915="Čaká na integráciu",$J1915="Integrácia"),"ÁNO","")</f>
        <v/>
      </c>
      <c r="L1915" t="str">
        <f>IF(OR($I1915="Čaká na biznis",$J1915="Biznis",$J1915="Švédsky biznis"),"ÁNO","")</f>
        <v/>
      </c>
      <c r="N1915" s="2"/>
      <c r="O1915" s="3"/>
      <c r="Q1915"/>
      <c r="R1915" s="3"/>
      <c r="S1915" s="3"/>
      <c r="T1915"/>
      <c r="U1915"/>
      <c r="V1915"/>
      <c r="W1915"/>
      <c r="Z1915"/>
      <c r="AA1915"/>
      <c r="AD1915"/>
    </row>
    <row r="1916" spans="11:30" ht="18" customHeight="1">
      <c r="K1916" t="str">
        <f>IF(OR($I1916="Čaká na integráciu",$J1916="Integrácia"),"ÁNO","")</f>
        <v/>
      </c>
      <c r="L1916" t="str">
        <f>IF(OR($I1916="Čaká na biznis",$J1916="Biznis",$J1916="Švédsky biznis"),"ÁNO","")</f>
        <v/>
      </c>
      <c r="N1916" s="2"/>
      <c r="O1916" s="3"/>
      <c r="Q1916"/>
      <c r="R1916" s="3"/>
      <c r="S1916" s="3"/>
      <c r="T1916"/>
      <c r="U1916"/>
      <c r="V1916"/>
      <c r="W1916"/>
      <c r="Z1916"/>
      <c r="AA1916"/>
      <c r="AD1916"/>
    </row>
    <row r="1917" spans="11:30" ht="18" customHeight="1">
      <c r="K1917" t="str">
        <f>IF(OR($I1917="Čaká na integráciu",$J1917="Integrácia"),"ÁNO","")</f>
        <v/>
      </c>
      <c r="L1917" t="str">
        <f>IF(OR($I1917="Čaká na biznis",$J1917="Biznis",$J1917="Švédsky biznis"),"ÁNO","")</f>
        <v/>
      </c>
      <c r="N1917" s="2"/>
      <c r="O1917" s="3"/>
      <c r="Q1917"/>
      <c r="R1917" s="3"/>
      <c r="S1917" s="3"/>
      <c r="T1917"/>
      <c r="U1917"/>
      <c r="V1917"/>
      <c r="W1917"/>
      <c r="Z1917"/>
      <c r="AA1917"/>
      <c r="AD1917"/>
    </row>
    <row r="1918" spans="11:30" ht="18" customHeight="1">
      <c r="K1918" t="str">
        <f>IF(OR($I1918="Čaká na integráciu",$J1918="Integrácia"),"ÁNO","")</f>
        <v/>
      </c>
      <c r="L1918" t="str">
        <f>IF(OR($I1918="Čaká na biznis",$J1918="Biznis",$J1918="Švédsky biznis"),"ÁNO","")</f>
        <v/>
      </c>
      <c r="N1918" s="2"/>
      <c r="O1918" s="3"/>
      <c r="Q1918"/>
      <c r="R1918" s="3"/>
      <c r="S1918" s="3"/>
      <c r="T1918"/>
      <c r="U1918"/>
      <c r="V1918"/>
      <c r="W1918"/>
      <c r="Z1918"/>
      <c r="AA1918"/>
      <c r="AD1918"/>
    </row>
    <row r="1919" spans="11:30" ht="18" customHeight="1">
      <c r="K1919" t="str">
        <f>IF(OR($I1919="Čaká na integráciu",$J1919="Integrácia"),"ÁNO","")</f>
        <v/>
      </c>
      <c r="L1919" t="str">
        <f>IF(OR($I1919="Čaká na biznis",$J1919="Biznis",$J1919="Švédsky biznis"),"ÁNO","")</f>
        <v/>
      </c>
      <c r="N1919" s="2"/>
      <c r="O1919" s="3"/>
      <c r="Q1919"/>
      <c r="R1919" s="3"/>
      <c r="S1919" s="3"/>
      <c r="T1919"/>
      <c r="U1919"/>
      <c r="V1919"/>
      <c r="W1919"/>
      <c r="Z1919"/>
      <c r="AA1919"/>
      <c r="AD1919"/>
    </row>
    <row r="1920" spans="11:30" ht="18" customHeight="1">
      <c r="K1920" t="str">
        <f>IF(OR($I1920="Čaká na integráciu",$J1920="Integrácia"),"ÁNO","")</f>
        <v/>
      </c>
      <c r="L1920" t="str">
        <f>IF(OR($I1920="Čaká na biznis",$J1920="Biznis",$J1920="Švédsky biznis"),"ÁNO","")</f>
        <v/>
      </c>
      <c r="N1920" s="2"/>
      <c r="O1920" s="3"/>
      <c r="Q1920"/>
      <c r="R1920" s="3"/>
      <c r="S1920" s="3"/>
      <c r="T1920"/>
      <c r="U1920"/>
      <c r="V1920"/>
      <c r="W1920"/>
      <c r="Z1920"/>
      <c r="AA1920"/>
      <c r="AD1920"/>
    </row>
    <row r="1921" spans="11:30" ht="18" customHeight="1">
      <c r="K1921" t="str">
        <f>IF(OR($I1921="Čaká na integráciu",$J1921="Integrácia"),"ÁNO","")</f>
        <v/>
      </c>
      <c r="L1921" t="str">
        <f>IF(OR($I1921="Čaká na biznis",$J1921="Biznis",$J1921="Švédsky biznis"),"ÁNO","")</f>
        <v/>
      </c>
      <c r="N1921" s="2"/>
      <c r="O1921" s="3"/>
      <c r="Q1921"/>
      <c r="R1921" s="3"/>
      <c r="S1921" s="3"/>
      <c r="T1921"/>
      <c r="U1921"/>
      <c r="V1921"/>
      <c r="W1921"/>
      <c r="Z1921"/>
      <c r="AA1921"/>
      <c r="AD1921"/>
    </row>
    <row r="1922" spans="11:30" ht="18" customHeight="1">
      <c r="K1922" t="str">
        <f>IF(OR($I1922="Čaká na integráciu",$J1922="Integrácia"),"ÁNO","")</f>
        <v/>
      </c>
      <c r="L1922" t="str">
        <f>IF(OR($I1922="Čaká na biznis",$J1922="Biznis",$J1922="Švédsky biznis"),"ÁNO","")</f>
        <v/>
      </c>
      <c r="N1922" s="2"/>
      <c r="O1922" s="3"/>
      <c r="Q1922"/>
      <c r="R1922" s="3"/>
      <c r="S1922" s="3"/>
      <c r="T1922"/>
      <c r="U1922"/>
      <c r="V1922"/>
      <c r="W1922"/>
      <c r="Z1922"/>
      <c r="AA1922"/>
      <c r="AD1922"/>
    </row>
    <row r="1923" spans="11:30" ht="18" customHeight="1">
      <c r="K1923" t="str">
        <f>IF(OR($I1923="Čaká na integráciu",$J1923="Integrácia"),"ÁNO","")</f>
        <v/>
      </c>
      <c r="L1923" t="str">
        <f>IF(OR($I1923="Čaká na biznis",$J1923="Biznis",$J1923="Švédsky biznis"),"ÁNO","")</f>
        <v/>
      </c>
      <c r="N1923" s="2"/>
      <c r="O1923" s="3"/>
      <c r="Q1923"/>
      <c r="R1923" s="3"/>
      <c r="S1923" s="3"/>
      <c r="T1923"/>
      <c r="U1923"/>
      <c r="V1923"/>
      <c r="W1923"/>
      <c r="Z1923"/>
      <c r="AA1923"/>
      <c r="AD1923"/>
    </row>
    <row r="1924" spans="11:30" ht="18" customHeight="1">
      <c r="K1924" t="str">
        <f>IF(OR($I1924="Čaká na integráciu",$J1924="Integrácia"),"ÁNO","")</f>
        <v/>
      </c>
      <c r="L1924" t="str">
        <f>IF(OR($I1924="Čaká na biznis",$J1924="Biznis",$J1924="Švédsky biznis"),"ÁNO","")</f>
        <v/>
      </c>
      <c r="N1924" s="2"/>
      <c r="O1924" s="3"/>
      <c r="Q1924"/>
      <c r="R1924" s="3"/>
      <c r="S1924" s="3"/>
      <c r="T1924"/>
      <c r="U1924"/>
      <c r="V1924"/>
      <c r="W1924"/>
      <c r="Z1924"/>
      <c r="AA1924"/>
      <c r="AD1924"/>
    </row>
    <row r="1925" spans="11:30" ht="18" customHeight="1">
      <c r="K1925" t="str">
        <f>IF(OR($I1925="Čaká na integráciu",$J1925="Integrácia"),"ÁNO","")</f>
        <v/>
      </c>
      <c r="L1925" t="str">
        <f>IF(OR($I1925="Čaká na biznis",$J1925="Biznis",$J1925="Švédsky biznis"),"ÁNO","")</f>
        <v/>
      </c>
      <c r="N1925" s="2"/>
      <c r="O1925" s="3"/>
      <c r="Q1925"/>
      <c r="R1925" s="3"/>
      <c r="S1925" s="3"/>
      <c r="T1925"/>
      <c r="U1925"/>
      <c r="V1925"/>
      <c r="W1925"/>
      <c r="Z1925"/>
      <c r="AA1925"/>
      <c r="AD1925"/>
    </row>
    <row r="1926" spans="11:30" ht="18" customHeight="1">
      <c r="K1926" t="str">
        <f>IF(OR($I1926="Čaká na integráciu",$J1926="Integrácia"),"ÁNO","")</f>
        <v/>
      </c>
      <c r="L1926" t="str">
        <f>IF(OR($I1926="Čaká na biznis",$J1926="Biznis",$J1926="Švédsky biznis"),"ÁNO","")</f>
        <v/>
      </c>
      <c r="N1926" s="2"/>
      <c r="O1926" s="3"/>
      <c r="Q1926"/>
      <c r="R1926" s="3"/>
      <c r="S1926" s="3"/>
      <c r="T1926"/>
      <c r="U1926"/>
      <c r="V1926"/>
      <c r="W1926"/>
      <c r="Z1926"/>
      <c r="AA1926"/>
      <c r="AD1926"/>
    </row>
    <row r="1927" spans="11:30" ht="18" customHeight="1">
      <c r="K1927" t="str">
        <f>IF(OR($I1927="Čaká na integráciu",$J1927="Integrácia"),"ÁNO","")</f>
        <v/>
      </c>
      <c r="L1927" t="str">
        <f>IF(OR($I1927="Čaká na biznis",$J1927="Biznis",$J1927="Švédsky biznis"),"ÁNO","")</f>
        <v/>
      </c>
      <c r="N1927" s="2"/>
      <c r="O1927" s="3"/>
      <c r="Q1927"/>
      <c r="R1927" s="3"/>
      <c r="S1927" s="3"/>
      <c r="T1927"/>
      <c r="U1927"/>
      <c r="V1927"/>
      <c r="W1927"/>
      <c r="Z1927"/>
      <c r="AA1927"/>
      <c r="AD1927"/>
    </row>
    <row r="1928" spans="11:30" ht="18" customHeight="1">
      <c r="K1928" t="str">
        <f>IF(OR($I1928="Čaká na integráciu",$J1928="Integrácia"),"ÁNO","")</f>
        <v/>
      </c>
      <c r="L1928" t="str">
        <f>IF(OR($I1928="Čaká na biznis",$J1928="Biznis",$J1928="Švédsky biznis"),"ÁNO","")</f>
        <v/>
      </c>
      <c r="N1928" s="2"/>
      <c r="O1928" s="3"/>
      <c r="Q1928"/>
      <c r="R1928" s="3"/>
      <c r="S1928" s="3"/>
      <c r="T1928"/>
      <c r="U1928"/>
      <c r="V1928"/>
      <c r="W1928"/>
      <c r="Z1928"/>
      <c r="AA1928"/>
      <c r="AD1928"/>
    </row>
    <row r="1929" spans="11:30" ht="18" customHeight="1">
      <c r="K1929" t="str">
        <f>IF(OR($I1929="Čaká na integráciu",$J1929="Integrácia"),"ÁNO","")</f>
        <v/>
      </c>
      <c r="L1929" t="str">
        <f>IF(OR($I1929="Čaká na biznis",$J1929="Biznis",$J1929="Švédsky biznis"),"ÁNO","")</f>
        <v/>
      </c>
      <c r="N1929" s="2"/>
      <c r="O1929" s="3"/>
      <c r="Q1929"/>
      <c r="R1929" s="3"/>
      <c r="S1929" s="3"/>
      <c r="T1929"/>
      <c r="U1929"/>
      <c r="V1929"/>
      <c r="W1929"/>
      <c r="Z1929"/>
      <c r="AA1929"/>
      <c r="AD1929"/>
    </row>
    <row r="1930" spans="11:30" ht="18" customHeight="1">
      <c r="K1930" t="str">
        <f>IF(OR($I1930="Čaká na integráciu",$J1930="Integrácia"),"ÁNO","")</f>
        <v/>
      </c>
      <c r="L1930" t="str">
        <f>IF(OR($I1930="Čaká na biznis",$J1930="Biznis",$J1930="Švédsky biznis"),"ÁNO","")</f>
        <v/>
      </c>
      <c r="N1930" s="2"/>
      <c r="O1930" s="3"/>
      <c r="Q1930"/>
      <c r="R1930" s="3"/>
      <c r="S1930" s="3"/>
      <c r="T1930"/>
      <c r="U1930"/>
      <c r="V1930"/>
      <c r="W1930"/>
      <c r="Z1930"/>
      <c r="AA1930"/>
      <c r="AD1930"/>
    </row>
    <row r="1931" spans="11:30" ht="18" customHeight="1">
      <c r="K1931" t="str">
        <f>IF(OR($I1931="Čaká na integráciu",$J1931="Integrácia"),"ÁNO","")</f>
        <v/>
      </c>
      <c r="L1931" t="str">
        <f>IF(OR($I1931="Čaká na biznis",$J1931="Biznis",$J1931="Švédsky biznis"),"ÁNO","")</f>
        <v/>
      </c>
      <c r="N1931" s="2"/>
      <c r="O1931" s="3"/>
      <c r="Q1931"/>
      <c r="R1931" s="3"/>
      <c r="S1931" s="3"/>
      <c r="T1931"/>
      <c r="U1931"/>
      <c r="V1931"/>
      <c r="W1931"/>
      <c r="Z1931"/>
      <c r="AA1931"/>
      <c r="AD1931"/>
    </row>
    <row r="1932" spans="11:30" ht="18" customHeight="1">
      <c r="K1932" t="str">
        <f>IF(OR($I1932="Čaká na integráciu",$J1932="Integrácia"),"ÁNO","")</f>
        <v/>
      </c>
      <c r="L1932" t="str">
        <f>IF(OR($I1932="Čaká na biznis",$J1932="Biznis",$J1932="Švédsky biznis"),"ÁNO","")</f>
        <v/>
      </c>
      <c r="N1932" s="2"/>
      <c r="O1932" s="3"/>
      <c r="Q1932"/>
      <c r="R1932" s="3"/>
      <c r="S1932" s="3"/>
      <c r="T1932"/>
      <c r="U1932"/>
      <c r="V1932"/>
      <c r="W1932"/>
      <c r="Z1932"/>
      <c r="AA1932"/>
      <c r="AD1932"/>
    </row>
    <row r="1933" spans="11:30" ht="18" customHeight="1">
      <c r="K1933" t="str">
        <f>IF(OR($I1933="Čaká na integráciu",$J1933="Integrácia"),"ÁNO","")</f>
        <v/>
      </c>
      <c r="L1933" t="str">
        <f>IF(OR($I1933="Čaká na biznis",$J1933="Biznis",$J1933="Švédsky biznis"),"ÁNO","")</f>
        <v/>
      </c>
      <c r="N1933" s="2"/>
      <c r="O1933" s="3"/>
      <c r="Q1933"/>
      <c r="R1933" s="3"/>
      <c r="S1933" s="3"/>
      <c r="T1933"/>
      <c r="U1933"/>
      <c r="V1933"/>
      <c r="W1933"/>
      <c r="Z1933"/>
      <c r="AA1933"/>
      <c r="AD1933"/>
    </row>
    <row r="1934" spans="11:30" ht="18" customHeight="1">
      <c r="K1934" t="str">
        <f>IF(OR($I1934="Čaká na integráciu",$J1934="Integrácia"),"ÁNO","")</f>
        <v/>
      </c>
      <c r="L1934" t="str">
        <f>IF(OR($I1934="Čaká na biznis",$J1934="Biznis",$J1934="Švédsky biznis"),"ÁNO","")</f>
        <v/>
      </c>
      <c r="N1934" s="2"/>
      <c r="O1934" s="3"/>
      <c r="Q1934"/>
      <c r="R1934" s="3"/>
      <c r="S1934" s="3"/>
      <c r="T1934"/>
      <c r="U1934"/>
      <c r="V1934"/>
      <c r="W1934"/>
      <c r="Z1934"/>
      <c r="AA1934"/>
      <c r="AD1934"/>
    </row>
    <row r="1935" spans="11:30" ht="18" customHeight="1">
      <c r="K1935" t="str">
        <f>IF(OR($I1935="Čaká na integráciu",$J1935="Integrácia"),"ÁNO","")</f>
        <v/>
      </c>
      <c r="L1935" t="str">
        <f>IF(OR($I1935="Čaká na biznis",$J1935="Biznis",$J1935="Švédsky biznis"),"ÁNO","")</f>
        <v/>
      </c>
      <c r="N1935" s="2"/>
      <c r="O1935" s="3"/>
      <c r="Q1935"/>
      <c r="R1935" s="3"/>
      <c r="S1935" s="3"/>
      <c r="T1935"/>
      <c r="U1935"/>
      <c r="V1935"/>
      <c r="W1935"/>
      <c r="Z1935"/>
      <c r="AA1935"/>
      <c r="AD1935"/>
    </row>
    <row r="1936" spans="11:30" ht="18" customHeight="1">
      <c r="K1936" t="str">
        <f>IF(OR($I1936="Čaká na integráciu",$J1936="Integrácia"),"ÁNO","")</f>
        <v/>
      </c>
      <c r="L1936" t="str">
        <f>IF(OR($I1936="Čaká na biznis",$J1936="Biznis",$J1936="Švédsky biznis"),"ÁNO","")</f>
        <v/>
      </c>
      <c r="N1936" s="2"/>
      <c r="O1936" s="3"/>
      <c r="Q1936"/>
      <c r="R1936" s="3"/>
      <c r="S1936" s="3"/>
      <c r="T1936"/>
      <c r="U1936"/>
      <c r="V1936"/>
      <c r="W1936"/>
      <c r="Z1936"/>
      <c r="AA1936"/>
      <c r="AD1936"/>
    </row>
    <row r="1937" spans="11:30" ht="18" customHeight="1">
      <c r="K1937" t="str">
        <f>IF(OR($I1937="Čaká na integráciu",$J1937="Integrácia"),"ÁNO","")</f>
        <v/>
      </c>
      <c r="L1937" t="str">
        <f>IF(OR($I1937="Čaká na biznis",$J1937="Biznis",$J1937="Švédsky biznis"),"ÁNO","")</f>
        <v/>
      </c>
      <c r="N1937" s="2"/>
      <c r="O1937" s="3"/>
      <c r="Q1937"/>
      <c r="R1937" s="3"/>
      <c r="S1937" s="3"/>
      <c r="T1937"/>
      <c r="U1937"/>
      <c r="V1937"/>
      <c r="W1937"/>
      <c r="Z1937"/>
      <c r="AA1937"/>
      <c r="AD1937"/>
    </row>
    <row r="1938" spans="11:30" ht="18" customHeight="1">
      <c r="K1938" t="str">
        <f>IF(OR($I1938="Čaká na integráciu",$J1938="Integrácia"),"ÁNO","")</f>
        <v/>
      </c>
      <c r="L1938" t="str">
        <f>IF(OR($I1938="Čaká na biznis",$J1938="Biznis",$J1938="Švédsky biznis"),"ÁNO","")</f>
        <v/>
      </c>
      <c r="N1938" s="2"/>
      <c r="O1938" s="3"/>
      <c r="Q1938"/>
      <c r="R1938" s="3"/>
      <c r="S1938" s="3"/>
      <c r="T1938"/>
      <c r="U1938"/>
      <c r="V1938"/>
      <c r="W1938"/>
      <c r="Z1938"/>
      <c r="AA1938"/>
      <c r="AD1938"/>
    </row>
    <row r="1939" spans="11:30" ht="18" customHeight="1">
      <c r="K1939" t="str">
        <f>IF(OR($I1939="Čaká na integráciu",$J1939="Integrácia"),"ÁNO","")</f>
        <v/>
      </c>
      <c r="L1939" t="str">
        <f>IF(OR($I1939="Čaká na biznis",$J1939="Biznis",$J1939="Švédsky biznis"),"ÁNO","")</f>
        <v/>
      </c>
      <c r="N1939" s="2"/>
      <c r="O1939" s="3"/>
      <c r="Q1939"/>
      <c r="R1939" s="3"/>
      <c r="S1939" s="3"/>
      <c r="T1939"/>
      <c r="U1939"/>
      <c r="V1939"/>
      <c r="W1939"/>
      <c r="Z1939"/>
      <c r="AA1939"/>
      <c r="AD1939"/>
    </row>
    <row r="1940" spans="11:30" ht="18" customHeight="1">
      <c r="K1940" t="str">
        <f>IF(OR($I1940="Čaká na integráciu",$J1940="Integrácia"),"ÁNO","")</f>
        <v/>
      </c>
      <c r="L1940" t="str">
        <f>IF(OR($I1940="Čaká na biznis",$J1940="Biznis",$J1940="Švédsky biznis"),"ÁNO","")</f>
        <v/>
      </c>
      <c r="N1940" s="2"/>
      <c r="O1940" s="3"/>
      <c r="Q1940"/>
      <c r="R1940" s="3"/>
      <c r="S1940" s="3"/>
      <c r="T1940"/>
      <c r="U1940"/>
      <c r="V1940"/>
      <c r="W1940"/>
      <c r="Z1940"/>
      <c r="AA1940"/>
      <c r="AD1940"/>
    </row>
    <row r="1941" spans="11:30" ht="18" customHeight="1">
      <c r="K1941" t="str">
        <f>IF(OR($I1941="Čaká na integráciu",$J1941="Integrácia"),"ÁNO","")</f>
        <v/>
      </c>
      <c r="L1941" t="str">
        <f>IF(OR($I1941="Čaká na biznis",$J1941="Biznis",$J1941="Švédsky biznis"),"ÁNO","")</f>
        <v/>
      </c>
      <c r="N1941" s="2"/>
      <c r="O1941" s="3"/>
      <c r="Q1941"/>
      <c r="R1941" s="3"/>
      <c r="S1941" s="3"/>
      <c r="T1941"/>
      <c r="U1941"/>
      <c r="V1941"/>
      <c r="W1941"/>
      <c r="Z1941"/>
      <c r="AA1941"/>
      <c r="AD1941"/>
    </row>
    <row r="1942" spans="11:30" ht="18" customHeight="1">
      <c r="K1942" t="str">
        <f>IF(OR($I1942="Čaká na integráciu",$J1942="Integrácia"),"ÁNO","")</f>
        <v/>
      </c>
      <c r="L1942" t="str">
        <f>IF(OR($I1942="Čaká na biznis",$J1942="Biznis",$J1942="Švédsky biznis"),"ÁNO","")</f>
        <v/>
      </c>
      <c r="N1942" s="2"/>
      <c r="O1942" s="3"/>
      <c r="Q1942"/>
      <c r="R1942" s="3"/>
      <c r="S1942" s="3"/>
      <c r="T1942"/>
      <c r="U1942"/>
      <c r="V1942"/>
      <c r="W1942"/>
      <c r="Z1942"/>
      <c r="AA1942"/>
      <c r="AD1942"/>
    </row>
    <row r="1943" spans="11:30" ht="18" customHeight="1">
      <c r="K1943" t="str">
        <f>IF(OR($I1943="Čaká na integráciu",$J1943="Integrácia"),"ÁNO","")</f>
        <v/>
      </c>
      <c r="L1943" t="str">
        <f>IF(OR($I1943="Čaká na biznis",$J1943="Biznis",$J1943="Švédsky biznis"),"ÁNO","")</f>
        <v/>
      </c>
      <c r="N1943" s="2"/>
      <c r="O1943" s="3"/>
      <c r="Q1943"/>
      <c r="R1943" s="3"/>
      <c r="S1943" s="3"/>
      <c r="T1943"/>
      <c r="U1943"/>
      <c r="V1943"/>
      <c r="W1943"/>
      <c r="Z1943"/>
      <c r="AA1943"/>
      <c r="AD1943"/>
    </row>
    <row r="1944" spans="11:30" ht="18" customHeight="1">
      <c r="K1944" t="str">
        <f>IF(OR($I1944="Čaká na integráciu",$J1944="Integrácia"),"ÁNO","")</f>
        <v/>
      </c>
      <c r="L1944" t="str">
        <f>IF(OR($I1944="Čaká na biznis",$J1944="Biznis",$J1944="Švédsky biznis"),"ÁNO","")</f>
        <v/>
      </c>
      <c r="N1944" s="2"/>
      <c r="O1944" s="3"/>
      <c r="Q1944"/>
      <c r="R1944" s="3"/>
      <c r="S1944" s="3"/>
      <c r="T1944"/>
      <c r="U1944"/>
      <c r="V1944"/>
      <c r="W1944"/>
      <c r="Z1944"/>
      <c r="AA1944"/>
      <c r="AD1944"/>
    </row>
    <row r="1945" spans="11:30" ht="18" customHeight="1">
      <c r="K1945" t="str">
        <f>IF(OR($I1945="Čaká na integráciu",$J1945="Integrácia"),"ÁNO","")</f>
        <v/>
      </c>
      <c r="L1945" t="str">
        <f>IF(OR($I1945="Čaká na biznis",$J1945="Biznis",$J1945="Švédsky biznis"),"ÁNO","")</f>
        <v/>
      </c>
      <c r="N1945" s="2"/>
      <c r="O1945" s="3"/>
      <c r="Q1945"/>
      <c r="R1945" s="3"/>
      <c r="S1945" s="3"/>
      <c r="T1945"/>
      <c r="U1945"/>
      <c r="V1945"/>
      <c r="W1945"/>
      <c r="Z1945"/>
      <c r="AA1945"/>
      <c r="AD1945"/>
    </row>
    <row r="1946" spans="11:30" ht="18" customHeight="1">
      <c r="K1946" t="str">
        <f>IF(OR($I1946="Čaká na integráciu",$J1946="Integrácia"),"ÁNO","")</f>
        <v/>
      </c>
      <c r="L1946" t="str">
        <f>IF(OR($I1946="Čaká na biznis",$J1946="Biznis",$J1946="Švédsky biznis"),"ÁNO","")</f>
        <v/>
      </c>
      <c r="N1946" s="2"/>
      <c r="O1946" s="3"/>
      <c r="Q1946"/>
      <c r="R1946" s="3"/>
      <c r="S1946" s="3"/>
      <c r="T1946"/>
      <c r="U1946"/>
      <c r="V1946"/>
      <c r="W1946"/>
      <c r="Z1946"/>
      <c r="AA1946"/>
      <c r="AD1946"/>
    </row>
    <row r="1947" spans="11:30" ht="18" customHeight="1">
      <c r="K1947" t="str">
        <f>IF(OR($I1947="Čaká na integráciu",$J1947="Integrácia"),"ÁNO","")</f>
        <v/>
      </c>
      <c r="L1947" t="str">
        <f>IF(OR($I1947="Čaká na biznis",$J1947="Biznis",$J1947="Švédsky biznis"),"ÁNO","")</f>
        <v/>
      </c>
      <c r="N1947" s="2"/>
      <c r="O1947" s="3"/>
      <c r="Q1947"/>
      <c r="R1947" s="3"/>
      <c r="S1947" s="3"/>
      <c r="T1947"/>
      <c r="U1947"/>
      <c r="V1947"/>
      <c r="W1947"/>
      <c r="Z1947"/>
      <c r="AA1947"/>
      <c r="AD1947"/>
    </row>
    <row r="1948" spans="11:30" ht="18" customHeight="1">
      <c r="K1948" t="str">
        <f>IF(OR($I1948="Čaká na integráciu",$J1948="Integrácia"),"ÁNO","")</f>
        <v/>
      </c>
      <c r="L1948" t="str">
        <f>IF(OR($I1948="Čaká na biznis",$J1948="Biznis",$J1948="Švédsky biznis"),"ÁNO","")</f>
        <v/>
      </c>
      <c r="N1948" s="2"/>
      <c r="O1948" s="3"/>
      <c r="Q1948"/>
      <c r="R1948" s="3"/>
      <c r="S1948" s="3"/>
      <c r="T1948"/>
      <c r="U1948"/>
      <c r="V1948"/>
      <c r="W1948"/>
      <c r="Z1948"/>
      <c r="AA1948"/>
      <c r="AD1948"/>
    </row>
    <row r="1949" spans="11:30" ht="18" customHeight="1">
      <c r="K1949" t="str">
        <f>IF(OR($I1949="Čaká na integráciu",$J1949="Integrácia"),"ÁNO","")</f>
        <v/>
      </c>
      <c r="L1949" t="str">
        <f>IF(OR($I1949="Čaká na biznis",$J1949="Biznis",$J1949="Švédsky biznis"),"ÁNO","")</f>
        <v/>
      </c>
      <c r="N1949" s="2"/>
      <c r="O1949" s="3"/>
      <c r="Q1949"/>
      <c r="R1949" s="3"/>
      <c r="S1949" s="3"/>
      <c r="T1949"/>
      <c r="U1949"/>
      <c r="V1949"/>
      <c r="W1949"/>
      <c r="Z1949"/>
      <c r="AA1949"/>
      <c r="AD1949"/>
    </row>
    <row r="1950" spans="11:30" ht="18" customHeight="1">
      <c r="K1950" t="str">
        <f>IF(OR($I1950="Čaká na integráciu",$J1950="Integrácia"),"ÁNO","")</f>
        <v/>
      </c>
      <c r="L1950" t="str">
        <f>IF(OR($I1950="Čaká na biznis",$J1950="Biznis",$J1950="Švédsky biznis"),"ÁNO","")</f>
        <v/>
      </c>
      <c r="N1950" s="2"/>
      <c r="O1950" s="3"/>
      <c r="Q1950"/>
      <c r="R1950" s="3"/>
      <c r="S1950" s="3"/>
      <c r="T1950"/>
      <c r="U1950"/>
      <c r="V1950"/>
      <c r="W1950"/>
      <c r="Z1950"/>
      <c r="AA1950"/>
      <c r="AD1950"/>
    </row>
    <row r="1951" spans="11:30" ht="18" customHeight="1">
      <c r="K1951" t="str">
        <f>IF(OR($I1951="Čaká na integráciu",$J1951="Integrácia"),"ÁNO","")</f>
        <v/>
      </c>
      <c r="L1951" t="str">
        <f>IF(OR($I1951="Čaká na biznis",$J1951="Biznis",$J1951="Švédsky biznis"),"ÁNO","")</f>
        <v/>
      </c>
      <c r="N1951" s="2"/>
      <c r="O1951" s="3"/>
      <c r="Q1951"/>
      <c r="R1951" s="3"/>
      <c r="S1951" s="3"/>
      <c r="T1951"/>
      <c r="U1951"/>
      <c r="V1951"/>
      <c r="W1951"/>
      <c r="Z1951"/>
      <c r="AA1951"/>
      <c r="AD1951"/>
    </row>
    <row r="1952" spans="11:30" ht="18" customHeight="1">
      <c r="K1952" t="str">
        <f>IF(OR($I1952="Čaká na integráciu",$J1952="Integrácia"),"ÁNO","")</f>
        <v/>
      </c>
      <c r="L1952" t="str">
        <f>IF(OR($I1952="Čaká na biznis",$J1952="Biznis",$J1952="Švédsky biznis"),"ÁNO","")</f>
        <v/>
      </c>
      <c r="N1952" s="2"/>
      <c r="O1952" s="3"/>
      <c r="Q1952"/>
      <c r="R1952" s="3"/>
      <c r="S1952" s="3"/>
      <c r="T1952"/>
      <c r="U1952"/>
      <c r="V1952"/>
      <c r="W1952"/>
      <c r="Z1952"/>
      <c r="AA1952"/>
      <c r="AD1952"/>
    </row>
    <row r="1953" spans="11:30" ht="18" customHeight="1">
      <c r="K1953" t="str">
        <f>IF(OR($I1953="Čaká na integráciu",$J1953="Integrácia"),"ÁNO","")</f>
        <v/>
      </c>
      <c r="L1953" t="str">
        <f>IF(OR($I1953="Čaká na biznis",$J1953="Biznis",$J1953="Švédsky biznis"),"ÁNO","")</f>
        <v/>
      </c>
      <c r="N1953" s="2"/>
      <c r="O1953" s="3"/>
      <c r="Q1953"/>
      <c r="R1953" s="3"/>
      <c r="S1953" s="3"/>
      <c r="T1953"/>
      <c r="U1953"/>
      <c r="V1953"/>
      <c r="W1953"/>
      <c r="Z1953"/>
      <c r="AA1953"/>
      <c r="AD1953"/>
    </row>
    <row r="1954" spans="11:30" ht="18" customHeight="1">
      <c r="K1954" t="str">
        <f>IF(OR($I1954="Čaká na integráciu",$J1954="Integrácia"),"ÁNO","")</f>
        <v/>
      </c>
      <c r="L1954" t="str">
        <f>IF(OR($I1954="Čaká na biznis",$J1954="Biznis",$J1954="Švédsky biznis"),"ÁNO","")</f>
        <v/>
      </c>
      <c r="N1954" s="2"/>
      <c r="O1954" s="3"/>
      <c r="Q1954"/>
      <c r="R1954" s="3"/>
      <c r="S1954" s="3"/>
      <c r="T1954"/>
      <c r="U1954"/>
      <c r="V1954"/>
      <c r="W1954"/>
      <c r="Z1954"/>
      <c r="AA1954"/>
      <c r="AD1954"/>
    </row>
    <row r="1955" spans="11:30" ht="18" customHeight="1">
      <c r="K1955" t="str">
        <f>IF(OR($I1955="Čaká na integráciu",$J1955="Integrácia"),"ÁNO","")</f>
        <v/>
      </c>
      <c r="L1955" t="str">
        <f>IF(OR($I1955="Čaká na biznis",$J1955="Biznis",$J1955="Švédsky biznis"),"ÁNO","")</f>
        <v/>
      </c>
      <c r="N1955" s="2"/>
      <c r="O1955" s="3"/>
      <c r="Q1955"/>
      <c r="R1955" s="3"/>
      <c r="S1955" s="3"/>
      <c r="T1955"/>
      <c r="U1955"/>
      <c r="V1955"/>
      <c r="W1955"/>
      <c r="Z1955"/>
      <c r="AA1955"/>
      <c r="AD1955"/>
    </row>
    <row r="1956" spans="11:30" ht="18" customHeight="1">
      <c r="K1956" t="str">
        <f>IF(OR($I1956="Čaká na integráciu",$J1956="Integrácia"),"ÁNO","")</f>
        <v/>
      </c>
      <c r="L1956" t="str">
        <f>IF(OR($I1956="Čaká na biznis",$J1956="Biznis",$J1956="Švédsky biznis"),"ÁNO","")</f>
        <v/>
      </c>
      <c r="N1956" s="2"/>
      <c r="O1956" s="3"/>
      <c r="Q1956"/>
      <c r="R1956" s="3"/>
      <c r="S1956" s="3"/>
      <c r="T1956"/>
      <c r="U1956"/>
      <c r="V1956"/>
      <c r="W1956"/>
      <c r="Z1956"/>
      <c r="AA1956"/>
      <c r="AD1956"/>
    </row>
    <row r="1957" spans="11:30" ht="18" customHeight="1">
      <c r="K1957" t="str">
        <f>IF(OR($I1957="Čaká na integráciu",$J1957="Integrácia"),"ÁNO","")</f>
        <v/>
      </c>
      <c r="L1957" t="str">
        <f>IF(OR($I1957="Čaká na biznis",$J1957="Biznis",$J1957="Švédsky biznis"),"ÁNO","")</f>
        <v/>
      </c>
      <c r="N1957" s="2"/>
      <c r="O1957" s="3"/>
      <c r="Q1957"/>
      <c r="R1957" s="3"/>
      <c r="S1957" s="3"/>
      <c r="T1957"/>
      <c r="U1957"/>
      <c r="V1957"/>
      <c r="W1957"/>
      <c r="Z1957"/>
      <c r="AA1957"/>
      <c r="AD1957"/>
    </row>
    <row r="1958" spans="11:30" ht="18" customHeight="1">
      <c r="K1958" t="str">
        <f>IF(OR($I1958="Čaká na integráciu",$J1958="Integrácia"),"ÁNO","")</f>
        <v/>
      </c>
      <c r="L1958" t="str">
        <f>IF(OR($I1958="Čaká na biznis",$J1958="Biznis",$J1958="Švédsky biznis"),"ÁNO","")</f>
        <v/>
      </c>
      <c r="N1958" s="2"/>
      <c r="O1958" s="3"/>
      <c r="Q1958"/>
      <c r="R1958" s="3"/>
      <c r="S1958" s="3"/>
      <c r="T1958"/>
      <c r="U1958"/>
      <c r="V1958"/>
      <c r="W1958"/>
      <c r="Z1958"/>
      <c r="AA1958"/>
      <c r="AD1958"/>
    </row>
    <row r="1959" spans="11:30" ht="18" customHeight="1">
      <c r="K1959" t="str">
        <f>IF(OR($I1959="Čaká na integráciu",$J1959="Integrácia"),"ÁNO","")</f>
        <v/>
      </c>
      <c r="L1959" t="str">
        <f>IF(OR($I1959="Čaká na biznis",$J1959="Biznis",$J1959="Švédsky biznis"),"ÁNO","")</f>
        <v/>
      </c>
      <c r="N1959" s="2"/>
      <c r="O1959" s="3"/>
      <c r="Q1959"/>
      <c r="R1959" s="3"/>
      <c r="S1959" s="3"/>
      <c r="T1959"/>
      <c r="U1959"/>
      <c r="V1959"/>
      <c r="W1959"/>
      <c r="Z1959"/>
      <c r="AA1959"/>
      <c r="AD1959"/>
    </row>
    <row r="1960" spans="11:30" ht="18" customHeight="1">
      <c r="K1960" t="str">
        <f>IF(OR($I1960="Čaká na integráciu",$J1960="Integrácia"),"ÁNO","")</f>
        <v/>
      </c>
      <c r="L1960" t="str">
        <f>IF(OR($I1960="Čaká na biznis",$J1960="Biznis",$J1960="Švédsky biznis"),"ÁNO","")</f>
        <v/>
      </c>
      <c r="N1960" s="2"/>
      <c r="O1960" s="3"/>
      <c r="Q1960"/>
      <c r="R1960" s="3"/>
      <c r="S1960" s="3"/>
      <c r="T1960"/>
      <c r="U1960"/>
      <c r="V1960"/>
      <c r="W1960"/>
      <c r="Z1960"/>
      <c r="AA1960"/>
      <c r="AD1960"/>
    </row>
    <row r="1961" spans="11:30" ht="18" customHeight="1">
      <c r="K1961" t="str">
        <f>IF(OR($I1961="Čaká na integráciu",$J1961="Integrácia"),"ÁNO","")</f>
        <v/>
      </c>
      <c r="L1961" t="str">
        <f>IF(OR($I1961="Čaká na biznis",$J1961="Biznis",$J1961="Švédsky biznis"),"ÁNO","")</f>
        <v/>
      </c>
      <c r="N1961" s="2"/>
      <c r="O1961" s="3"/>
      <c r="Q1961"/>
      <c r="R1961" s="3"/>
      <c r="S1961" s="3"/>
      <c r="T1961"/>
      <c r="U1961"/>
      <c r="V1961"/>
      <c r="W1961"/>
      <c r="Z1961"/>
      <c r="AA1961"/>
      <c r="AD1961"/>
    </row>
    <row r="1962" spans="11:30" ht="18" customHeight="1">
      <c r="K1962" t="str">
        <f>IF(OR($I1962="Čaká na integráciu",$J1962="Integrácia"),"ÁNO","")</f>
        <v/>
      </c>
      <c r="L1962" t="str">
        <f>IF(OR($I1962="Čaká na biznis",$J1962="Biznis",$J1962="Švédsky biznis"),"ÁNO","")</f>
        <v/>
      </c>
      <c r="N1962" s="2"/>
      <c r="O1962" s="3"/>
      <c r="Q1962"/>
      <c r="R1962" s="3"/>
      <c r="S1962" s="3"/>
      <c r="T1962"/>
      <c r="U1962"/>
      <c r="V1962"/>
      <c r="W1962"/>
      <c r="Z1962"/>
      <c r="AA1962"/>
      <c r="AD1962"/>
    </row>
    <row r="1963" spans="11:30" ht="18" customHeight="1">
      <c r="K1963" t="str">
        <f>IF(OR($I1963="Čaká na integráciu",$J1963="Integrácia"),"ÁNO","")</f>
        <v/>
      </c>
      <c r="L1963" t="str">
        <f>IF(OR($I1963="Čaká na biznis",$J1963="Biznis",$J1963="Švédsky biznis"),"ÁNO","")</f>
        <v/>
      </c>
      <c r="N1963" s="2"/>
      <c r="O1963" s="3"/>
      <c r="Q1963"/>
      <c r="R1963" s="3"/>
      <c r="S1963" s="3"/>
      <c r="T1963"/>
      <c r="U1963"/>
      <c r="V1963"/>
      <c r="W1963"/>
      <c r="Z1963"/>
      <c r="AA1963"/>
      <c r="AD1963"/>
    </row>
    <row r="1964" spans="11:30" ht="18" customHeight="1">
      <c r="K1964" t="str">
        <f>IF(OR($I1964="Čaká na integráciu",$J1964="Integrácia"),"ÁNO","")</f>
        <v/>
      </c>
      <c r="L1964" t="str">
        <f>IF(OR($I1964="Čaká na biznis",$J1964="Biznis",$J1964="Švédsky biznis"),"ÁNO","")</f>
        <v/>
      </c>
      <c r="N1964" s="2"/>
      <c r="O1964" s="3"/>
      <c r="Q1964"/>
      <c r="R1964" s="3"/>
      <c r="S1964" s="3"/>
      <c r="T1964"/>
      <c r="U1964"/>
      <c r="V1964"/>
      <c r="W1964"/>
      <c r="Z1964"/>
      <c r="AA1964"/>
      <c r="AD1964"/>
    </row>
    <row r="1965" spans="11:30" ht="18" customHeight="1">
      <c r="K1965" t="str">
        <f>IF(OR($I1965="Čaká na integráciu",$J1965="Integrácia"),"ÁNO","")</f>
        <v/>
      </c>
      <c r="L1965" t="str">
        <f>IF(OR($I1965="Čaká na biznis",$J1965="Biznis",$J1965="Švédsky biznis"),"ÁNO","")</f>
        <v/>
      </c>
      <c r="N1965" s="2"/>
      <c r="O1965" s="3"/>
      <c r="Q1965"/>
      <c r="R1965" s="3"/>
      <c r="S1965" s="3"/>
      <c r="T1965"/>
      <c r="U1965"/>
      <c r="V1965"/>
      <c r="W1965"/>
      <c r="Z1965"/>
      <c r="AA1965"/>
      <c r="AD1965"/>
    </row>
    <row r="1966" spans="11:30" ht="18" customHeight="1">
      <c r="K1966" t="str">
        <f>IF(OR($I1966="Čaká na integráciu",$J1966="Integrácia"),"ÁNO","")</f>
        <v/>
      </c>
      <c r="L1966" t="str">
        <f>IF(OR($I1966="Čaká na biznis",$J1966="Biznis",$J1966="Švédsky biznis"),"ÁNO","")</f>
        <v/>
      </c>
      <c r="N1966" s="2"/>
      <c r="O1966" s="3"/>
      <c r="Q1966"/>
      <c r="R1966" s="3"/>
      <c r="S1966" s="3"/>
      <c r="T1966"/>
      <c r="U1966"/>
      <c r="V1966"/>
      <c r="W1966"/>
      <c r="Z1966"/>
      <c r="AA1966"/>
      <c r="AD1966"/>
    </row>
    <row r="1967" spans="11:30" ht="18" customHeight="1">
      <c r="K1967" t="str">
        <f>IF(OR($I1967="Čaká na integráciu",$J1967="Integrácia"),"ÁNO","")</f>
        <v/>
      </c>
      <c r="L1967" t="str">
        <f>IF(OR($I1967="Čaká na biznis",$J1967="Biznis",$J1967="Švédsky biznis"),"ÁNO","")</f>
        <v/>
      </c>
      <c r="N1967" s="2"/>
      <c r="O1967" s="3"/>
      <c r="Q1967"/>
      <c r="R1967" s="3"/>
      <c r="S1967" s="3"/>
      <c r="T1967"/>
      <c r="U1967"/>
      <c r="V1967"/>
      <c r="W1967"/>
      <c r="Z1967"/>
      <c r="AA1967"/>
      <c r="AD1967"/>
    </row>
    <row r="1968" spans="11:30" ht="18" customHeight="1">
      <c r="K1968" t="str">
        <f>IF(OR($I1968="Čaká na integráciu",$J1968="Integrácia"),"ÁNO","")</f>
        <v/>
      </c>
      <c r="L1968" t="str">
        <f>IF(OR($I1968="Čaká na biznis",$J1968="Biznis",$J1968="Švédsky biznis"),"ÁNO","")</f>
        <v/>
      </c>
      <c r="N1968" s="2"/>
      <c r="O1968" s="3"/>
      <c r="Q1968"/>
      <c r="R1968" s="3"/>
      <c r="S1968" s="3"/>
      <c r="T1968"/>
      <c r="U1968"/>
      <c r="V1968"/>
      <c r="W1968"/>
      <c r="Z1968"/>
      <c r="AA1968"/>
      <c r="AD1968"/>
    </row>
    <row r="1969" spans="11:30" ht="18" customHeight="1">
      <c r="K1969" t="str">
        <f>IF(OR($I1969="Čaká na integráciu",$J1969="Integrácia"),"ÁNO","")</f>
        <v/>
      </c>
      <c r="L1969" t="str">
        <f>IF(OR($I1969="Čaká na biznis",$J1969="Biznis",$J1969="Švédsky biznis"),"ÁNO","")</f>
        <v/>
      </c>
      <c r="N1969" s="2"/>
      <c r="O1969" s="3"/>
      <c r="Q1969"/>
      <c r="R1969" s="3"/>
      <c r="S1969" s="3"/>
      <c r="T1969"/>
      <c r="U1969"/>
      <c r="V1969"/>
      <c r="W1969"/>
      <c r="Z1969"/>
      <c r="AA1969"/>
      <c r="AD1969"/>
    </row>
    <row r="1970" spans="11:30" ht="18" customHeight="1">
      <c r="K1970" t="str">
        <f>IF(OR($I1970="Čaká na integráciu",$J1970="Integrácia"),"ÁNO","")</f>
        <v/>
      </c>
      <c r="L1970" t="str">
        <f>IF(OR($I1970="Čaká na biznis",$J1970="Biznis",$J1970="Švédsky biznis"),"ÁNO","")</f>
        <v/>
      </c>
      <c r="N1970" s="2"/>
      <c r="O1970" s="3"/>
      <c r="Q1970"/>
      <c r="R1970" s="3"/>
      <c r="S1970" s="3"/>
      <c r="T1970"/>
      <c r="U1970"/>
      <c r="V1970"/>
      <c r="W1970"/>
      <c r="Z1970"/>
      <c r="AA1970"/>
      <c r="AD1970"/>
    </row>
    <row r="1971" spans="11:30" ht="18" customHeight="1">
      <c r="K1971" t="str">
        <f>IF(OR($I1971="Čaká na integráciu",$J1971="Integrácia"),"ÁNO","")</f>
        <v/>
      </c>
      <c r="L1971" t="str">
        <f>IF(OR($I1971="Čaká na biznis",$J1971="Biznis",$J1971="Švédsky biznis"),"ÁNO","")</f>
        <v/>
      </c>
      <c r="N1971" s="2"/>
      <c r="O1971" s="3"/>
      <c r="Q1971"/>
      <c r="R1971" s="3"/>
      <c r="S1971" s="3"/>
      <c r="T1971"/>
      <c r="U1971"/>
      <c r="V1971"/>
      <c r="W1971"/>
      <c r="Z1971"/>
      <c r="AA1971"/>
      <c r="AD1971"/>
    </row>
    <row r="1972" spans="11:30" ht="18" customHeight="1">
      <c r="K1972" t="str">
        <f>IF(OR($I1972="Čaká na integráciu",$J1972="Integrácia"),"ÁNO","")</f>
        <v/>
      </c>
      <c r="L1972" t="str">
        <f>IF(OR($I1972="Čaká na biznis",$J1972="Biznis",$J1972="Švédsky biznis"),"ÁNO","")</f>
        <v/>
      </c>
      <c r="N1972" s="2"/>
      <c r="O1972" s="3"/>
      <c r="Q1972"/>
      <c r="R1972" s="3"/>
      <c r="S1972" s="3"/>
      <c r="T1972"/>
      <c r="U1972"/>
      <c r="V1972"/>
      <c r="W1972"/>
      <c r="Z1972"/>
      <c r="AA1972"/>
      <c r="AD1972"/>
    </row>
    <row r="1973" spans="11:30" ht="18" customHeight="1">
      <c r="K1973" t="str">
        <f>IF(OR($I1973="Čaká na integráciu",$J1973="Integrácia"),"ÁNO","")</f>
        <v/>
      </c>
      <c r="L1973" t="str">
        <f>IF(OR($I1973="Čaká na biznis",$J1973="Biznis",$J1973="Švédsky biznis"),"ÁNO","")</f>
        <v/>
      </c>
      <c r="N1973" s="2"/>
      <c r="O1973" s="3"/>
      <c r="Q1973"/>
      <c r="R1973" s="3"/>
      <c r="S1973" s="3"/>
      <c r="T1973"/>
      <c r="U1973"/>
      <c r="V1973"/>
      <c r="W1973"/>
      <c r="Z1973"/>
      <c r="AA1973"/>
      <c r="AD1973"/>
    </row>
    <row r="1974" spans="11:30" ht="18" customHeight="1">
      <c r="K1974" t="str">
        <f>IF(OR($I1974="Čaká na integráciu",$J1974="Integrácia"),"ÁNO","")</f>
        <v/>
      </c>
      <c r="L1974" t="str">
        <f>IF(OR($I1974="Čaká na biznis",$J1974="Biznis",$J1974="Švédsky biznis"),"ÁNO","")</f>
        <v/>
      </c>
      <c r="N1974" s="2"/>
      <c r="O1974" s="3"/>
      <c r="Q1974"/>
      <c r="R1974" s="3"/>
      <c r="S1974" s="3"/>
      <c r="T1974"/>
      <c r="U1974"/>
      <c r="V1974"/>
      <c r="W1974"/>
      <c r="Z1974"/>
      <c r="AA1974"/>
      <c r="AD1974"/>
    </row>
    <row r="1975" spans="11:30" ht="18" customHeight="1">
      <c r="K1975" t="str">
        <f>IF(OR($I1975="Čaká na integráciu",$J1975="Integrácia"),"ÁNO","")</f>
        <v/>
      </c>
      <c r="L1975" t="str">
        <f>IF(OR($I1975="Čaká na biznis",$J1975="Biznis",$J1975="Švédsky biznis"),"ÁNO","")</f>
        <v/>
      </c>
      <c r="N1975" s="2"/>
      <c r="O1975" s="3"/>
      <c r="Q1975"/>
      <c r="R1975" s="3"/>
      <c r="S1975" s="3"/>
      <c r="T1975"/>
      <c r="U1975"/>
      <c r="V1975"/>
      <c r="W1975"/>
      <c r="Z1975"/>
      <c r="AA1975"/>
      <c r="AD1975"/>
    </row>
    <row r="1976" spans="11:30" ht="18" customHeight="1">
      <c r="K1976" t="str">
        <f>IF(OR($I1976="Čaká na integráciu",$J1976="Integrácia"),"ÁNO","")</f>
        <v/>
      </c>
      <c r="L1976" t="str">
        <f>IF(OR($I1976="Čaká na biznis",$J1976="Biznis",$J1976="Švédsky biznis"),"ÁNO","")</f>
        <v/>
      </c>
      <c r="N1976" s="2"/>
      <c r="O1976" s="3"/>
      <c r="Q1976"/>
      <c r="R1976" s="3"/>
      <c r="S1976" s="3"/>
      <c r="T1976"/>
      <c r="U1976"/>
      <c r="V1976"/>
      <c r="W1976"/>
      <c r="Z1976"/>
      <c r="AA1976"/>
      <c r="AD1976"/>
    </row>
    <row r="1977" spans="11:30" ht="18" customHeight="1">
      <c r="K1977" t="str">
        <f>IF(OR($I1977="Čaká na integráciu",$J1977="Integrácia"),"ÁNO","")</f>
        <v/>
      </c>
      <c r="L1977" t="str">
        <f>IF(OR($I1977="Čaká na biznis",$J1977="Biznis",$J1977="Švédsky biznis"),"ÁNO","")</f>
        <v/>
      </c>
      <c r="N1977" s="2"/>
      <c r="O1977" s="3"/>
      <c r="Q1977"/>
      <c r="R1977" s="3"/>
      <c r="S1977" s="3"/>
      <c r="T1977"/>
      <c r="U1977"/>
      <c r="V1977"/>
      <c r="W1977"/>
      <c r="Z1977"/>
      <c r="AA1977"/>
      <c r="AD1977"/>
    </row>
    <row r="1978" spans="11:30" ht="18" customHeight="1">
      <c r="K1978" t="str">
        <f>IF(OR($I1978="Čaká na integráciu",$J1978="Integrácia"),"ÁNO","")</f>
        <v/>
      </c>
      <c r="L1978" t="str">
        <f>IF(OR($I1978="Čaká na biznis",$J1978="Biznis",$J1978="Švédsky biznis"),"ÁNO","")</f>
        <v/>
      </c>
      <c r="N1978" s="2"/>
      <c r="O1978" s="3"/>
      <c r="Q1978"/>
      <c r="R1978" s="3"/>
      <c r="S1978" s="3"/>
      <c r="T1978"/>
      <c r="U1978"/>
      <c r="V1978"/>
      <c r="W1978"/>
      <c r="Z1978"/>
      <c r="AA1978"/>
      <c r="AD1978"/>
    </row>
    <row r="1979" spans="11:30" ht="18" customHeight="1">
      <c r="K1979" t="str">
        <f>IF(OR($I1979="Čaká na integráciu",$J1979="Integrácia"),"ÁNO","")</f>
        <v/>
      </c>
      <c r="L1979" t="str">
        <f>IF(OR($I1979="Čaká na biznis",$J1979="Biznis",$J1979="Švédsky biznis"),"ÁNO","")</f>
        <v/>
      </c>
      <c r="N1979" s="2"/>
      <c r="O1979" s="3"/>
      <c r="Q1979"/>
      <c r="R1979" s="3"/>
      <c r="S1979" s="3"/>
      <c r="T1979"/>
      <c r="U1979"/>
      <c r="V1979"/>
      <c r="W1979"/>
      <c r="Z1979"/>
      <c r="AA1979"/>
      <c r="AD1979"/>
    </row>
    <row r="1980" spans="11:30" ht="18" customHeight="1">
      <c r="K1980" t="str">
        <f>IF(OR($I1980="Čaká na integráciu",$J1980="Integrácia"),"ÁNO","")</f>
        <v/>
      </c>
      <c r="L1980" t="str">
        <f>IF(OR($I1980="Čaká na biznis",$J1980="Biznis",$J1980="Švédsky biznis"),"ÁNO","")</f>
        <v/>
      </c>
      <c r="N1980" s="2"/>
      <c r="O1980" s="3"/>
      <c r="Q1980"/>
      <c r="R1980" s="3"/>
      <c r="S1980" s="3"/>
      <c r="T1980"/>
      <c r="U1980"/>
      <c r="V1980"/>
      <c r="W1980"/>
      <c r="Z1980"/>
      <c r="AA1980"/>
      <c r="AD1980"/>
    </row>
    <row r="1981" spans="11:30" ht="18" customHeight="1">
      <c r="K1981" t="str">
        <f>IF(OR($I1981="Čaká na integráciu",$J1981="Integrácia"),"ÁNO","")</f>
        <v/>
      </c>
      <c r="L1981" t="str">
        <f>IF(OR($I1981="Čaká na biznis",$J1981="Biznis",$J1981="Švédsky biznis"),"ÁNO","")</f>
        <v/>
      </c>
      <c r="N1981" s="2"/>
      <c r="O1981" s="3"/>
      <c r="Q1981"/>
      <c r="R1981" s="3"/>
      <c r="S1981" s="3"/>
      <c r="T1981"/>
      <c r="U1981"/>
      <c r="V1981"/>
      <c r="W1981"/>
      <c r="Z1981"/>
      <c r="AA1981"/>
      <c r="AD1981"/>
    </row>
    <row r="1982" spans="11:30" ht="18" customHeight="1">
      <c r="K1982" t="str">
        <f>IF(OR($I1982="Čaká na integráciu",$J1982="Integrácia"),"ÁNO","")</f>
        <v/>
      </c>
      <c r="L1982" t="str">
        <f>IF(OR($I1982="Čaká na biznis",$J1982="Biznis",$J1982="Švédsky biznis"),"ÁNO","")</f>
        <v/>
      </c>
      <c r="N1982" s="2"/>
      <c r="O1982" s="3"/>
      <c r="Q1982"/>
      <c r="R1982" s="3"/>
      <c r="S1982" s="3"/>
      <c r="T1982"/>
      <c r="U1982"/>
      <c r="V1982"/>
      <c r="W1982"/>
      <c r="Z1982"/>
      <c r="AA1982"/>
      <c r="AD1982"/>
    </row>
    <row r="1983" spans="11:30" ht="18" customHeight="1">
      <c r="K1983" t="str">
        <f>IF(OR($I1983="Čaká na integráciu",$J1983="Integrácia"),"ÁNO","")</f>
        <v/>
      </c>
      <c r="L1983" t="str">
        <f>IF(OR($I1983="Čaká na biznis",$J1983="Biznis",$J1983="Švédsky biznis"),"ÁNO","")</f>
        <v/>
      </c>
      <c r="N1983" s="2"/>
      <c r="O1983" s="3"/>
      <c r="Q1983"/>
      <c r="R1983" s="3"/>
      <c r="S1983" s="3"/>
      <c r="T1983"/>
      <c r="U1983"/>
      <c r="V1983"/>
      <c r="W1983"/>
      <c r="Z1983"/>
      <c r="AA1983"/>
      <c r="AD1983"/>
    </row>
    <row r="1984" spans="11:30" ht="18" customHeight="1">
      <c r="K1984" t="str">
        <f>IF(OR($I1984="Čaká na integráciu",$J1984="Integrácia"),"ÁNO","")</f>
        <v/>
      </c>
      <c r="L1984" t="str">
        <f>IF(OR($I1984="Čaká na biznis",$J1984="Biznis",$J1984="Švédsky biznis"),"ÁNO","")</f>
        <v/>
      </c>
      <c r="N1984" s="2"/>
      <c r="O1984" s="3"/>
      <c r="Q1984"/>
      <c r="R1984" s="3"/>
      <c r="S1984" s="3"/>
      <c r="T1984"/>
      <c r="U1984"/>
      <c r="V1984"/>
      <c r="W1984"/>
      <c r="Z1984"/>
      <c r="AA1984"/>
      <c r="AD1984"/>
    </row>
    <row r="1985" spans="11:30" ht="18" customHeight="1">
      <c r="K1985" t="str">
        <f>IF(OR($I1985="Čaká na integráciu",$J1985="Integrácia"),"ÁNO","")</f>
        <v/>
      </c>
      <c r="L1985" t="str">
        <f>IF(OR($I1985="Čaká na biznis",$J1985="Biznis",$J1985="Švédsky biznis"),"ÁNO","")</f>
        <v/>
      </c>
      <c r="N1985" s="2"/>
      <c r="O1985" s="3"/>
      <c r="Q1985"/>
      <c r="R1985" s="3"/>
      <c r="S1985" s="3"/>
      <c r="T1985"/>
      <c r="U1985"/>
      <c r="V1985"/>
      <c r="W1985"/>
      <c r="Z1985"/>
      <c r="AA1985"/>
      <c r="AD1985"/>
    </row>
    <row r="1986" spans="11:30" ht="18" customHeight="1">
      <c r="K1986" t="str">
        <f>IF(OR($I1986="Čaká na integráciu",$J1986="Integrácia"),"ÁNO","")</f>
        <v/>
      </c>
      <c r="L1986" t="str">
        <f>IF(OR($I1986="Čaká na biznis",$J1986="Biznis",$J1986="Švédsky biznis"),"ÁNO","")</f>
        <v/>
      </c>
      <c r="N1986" s="2"/>
      <c r="O1986" s="3"/>
      <c r="Q1986"/>
      <c r="R1986" s="3"/>
      <c r="S1986" s="3"/>
      <c r="T1986"/>
      <c r="U1986"/>
      <c r="V1986"/>
      <c r="W1986"/>
      <c r="Z1986"/>
      <c r="AA1986"/>
      <c r="AD1986"/>
    </row>
    <row r="1987" spans="11:30" ht="18" customHeight="1">
      <c r="K1987" t="str">
        <f>IF(OR($I1987="Čaká na integráciu",$J1987="Integrácia"),"ÁNO","")</f>
        <v/>
      </c>
      <c r="L1987" t="str">
        <f>IF(OR($I1987="Čaká na biznis",$J1987="Biznis",$J1987="Švédsky biznis"),"ÁNO","")</f>
        <v/>
      </c>
      <c r="N1987" s="2"/>
      <c r="O1987" s="3"/>
      <c r="Q1987"/>
      <c r="R1987" s="3"/>
      <c r="S1987" s="3"/>
      <c r="T1987"/>
      <c r="U1987"/>
      <c r="V1987"/>
      <c r="W1987"/>
      <c r="Z1987"/>
      <c r="AA1987"/>
      <c r="AD1987"/>
    </row>
    <row r="1988" spans="11:30" ht="18" customHeight="1">
      <c r="K1988" t="str">
        <f>IF(OR($I1988="Čaká na integráciu",$J1988="Integrácia"),"ÁNO","")</f>
        <v/>
      </c>
      <c r="L1988" t="str">
        <f>IF(OR($I1988="Čaká na biznis",$J1988="Biznis",$J1988="Švédsky biznis"),"ÁNO","")</f>
        <v/>
      </c>
      <c r="N1988" s="2"/>
      <c r="O1988" s="3"/>
      <c r="Q1988"/>
      <c r="R1988" s="3"/>
      <c r="S1988" s="3"/>
      <c r="T1988"/>
      <c r="U1988"/>
      <c r="V1988"/>
      <c r="W1988"/>
      <c r="Z1988"/>
      <c r="AA1988"/>
      <c r="AD1988"/>
    </row>
    <row r="1989" spans="11:30" ht="18" customHeight="1">
      <c r="K1989" t="str">
        <f>IF(OR($I1989="Čaká na integráciu",$J1989="Integrácia"),"ÁNO","")</f>
        <v/>
      </c>
      <c r="L1989" t="str">
        <f>IF(OR($I1989="Čaká na biznis",$J1989="Biznis",$J1989="Švédsky biznis"),"ÁNO","")</f>
        <v/>
      </c>
      <c r="N1989" s="2"/>
      <c r="O1989" s="3"/>
      <c r="Q1989"/>
      <c r="R1989" s="3"/>
      <c r="S1989" s="3"/>
      <c r="T1989"/>
      <c r="U1989"/>
      <c r="V1989"/>
      <c r="W1989"/>
      <c r="Z1989"/>
      <c r="AA1989"/>
      <c r="AD1989"/>
    </row>
    <row r="1990" spans="11:30" ht="18" customHeight="1">
      <c r="K1990" t="str">
        <f>IF(OR($I1990="Čaká na integráciu",$J1990="Integrácia"),"ÁNO","")</f>
        <v/>
      </c>
      <c r="L1990" t="str">
        <f>IF(OR($I1990="Čaká na biznis",$J1990="Biznis",$J1990="Švédsky biznis"),"ÁNO","")</f>
        <v/>
      </c>
      <c r="N1990" s="2"/>
      <c r="O1990" s="3"/>
      <c r="Q1990"/>
      <c r="R1990" s="3"/>
      <c r="S1990" s="3"/>
      <c r="T1990"/>
      <c r="U1990"/>
      <c r="V1990"/>
      <c r="W1990"/>
      <c r="Z1990"/>
      <c r="AA1990"/>
      <c r="AD1990"/>
    </row>
    <row r="1991" spans="11:30" ht="18" customHeight="1">
      <c r="K1991" t="str">
        <f>IF(OR($I1991="Čaká na integráciu",$J1991="Integrácia"),"ÁNO","")</f>
        <v/>
      </c>
      <c r="L1991" t="str">
        <f>IF(OR($I1991="Čaká na biznis",$J1991="Biznis",$J1991="Švédsky biznis"),"ÁNO","")</f>
        <v/>
      </c>
      <c r="N1991" s="2"/>
      <c r="O1991" s="3"/>
      <c r="Q1991"/>
      <c r="R1991" s="3"/>
      <c r="S1991" s="3"/>
      <c r="T1991"/>
      <c r="U1991"/>
      <c r="V1991"/>
      <c r="W1991"/>
      <c r="Z1991"/>
      <c r="AA1991"/>
      <c r="AD1991"/>
    </row>
    <row r="1992" spans="11:30" ht="18" customHeight="1">
      <c r="K1992" t="str">
        <f>IF(OR($I1992="Čaká na integráciu",$J1992="Integrácia"),"ÁNO","")</f>
        <v/>
      </c>
      <c r="L1992" t="str">
        <f>IF(OR($I1992="Čaká na biznis",$J1992="Biznis",$J1992="Švédsky biznis"),"ÁNO","")</f>
        <v/>
      </c>
      <c r="N1992" s="2"/>
      <c r="O1992" s="3"/>
      <c r="Q1992"/>
      <c r="R1992" s="3"/>
      <c r="S1992" s="3"/>
      <c r="T1992"/>
      <c r="U1992"/>
      <c r="V1992"/>
      <c r="W1992"/>
      <c r="Z1992"/>
      <c r="AA1992"/>
      <c r="AD1992"/>
    </row>
    <row r="1993" spans="11:30" ht="18" customHeight="1">
      <c r="K1993" t="str">
        <f>IF(OR($I1993="Čaká na integráciu",$J1993="Integrácia"),"ÁNO","")</f>
        <v/>
      </c>
      <c r="L1993" t="str">
        <f>IF(OR($I1993="Čaká na biznis",$J1993="Biznis",$J1993="Švédsky biznis"),"ÁNO","")</f>
        <v/>
      </c>
      <c r="N1993" s="2"/>
      <c r="O1993" s="3"/>
      <c r="Q1993"/>
      <c r="R1993" s="3"/>
      <c r="S1993" s="3"/>
      <c r="T1993"/>
      <c r="U1993"/>
      <c r="V1993"/>
      <c r="W1993"/>
      <c r="Z1993"/>
      <c r="AA1993"/>
      <c r="AD1993"/>
    </row>
    <row r="1994" spans="11:30" ht="18" customHeight="1">
      <c r="K1994" t="str">
        <f>IF(OR($I1994="Čaká na integráciu",$J1994="Integrácia"),"ÁNO","")</f>
        <v/>
      </c>
      <c r="L1994" t="str">
        <f>IF(OR($I1994="Čaká na biznis",$J1994="Biznis",$J1994="Švédsky biznis"),"ÁNO","")</f>
        <v/>
      </c>
      <c r="N1994" s="2"/>
      <c r="O1994" s="3"/>
      <c r="Q1994"/>
      <c r="R1994" s="3"/>
      <c r="S1994" s="3"/>
      <c r="T1994"/>
      <c r="U1994"/>
      <c r="V1994"/>
      <c r="W1994"/>
      <c r="Z1994"/>
      <c r="AA1994"/>
      <c r="AD1994"/>
    </row>
    <row r="1995" spans="11:30" ht="18" customHeight="1">
      <c r="K1995" t="str">
        <f>IF(OR($I1995="Čaká na integráciu",$J1995="Integrácia"),"ÁNO","")</f>
        <v/>
      </c>
      <c r="L1995" t="str">
        <f>IF(OR($I1995="Čaká na biznis",$J1995="Biznis",$J1995="Švédsky biznis"),"ÁNO","")</f>
        <v/>
      </c>
      <c r="N1995" s="2"/>
      <c r="O1995" s="3"/>
      <c r="Q1995"/>
      <c r="R1995" s="3"/>
      <c r="S1995" s="3"/>
      <c r="T1995"/>
      <c r="U1995"/>
      <c r="V1995"/>
      <c r="W1995"/>
      <c r="Z1995"/>
      <c r="AA1995"/>
      <c r="AD1995"/>
    </row>
    <row r="1996" spans="11:30" ht="18" customHeight="1">
      <c r="K1996" t="str">
        <f>IF(OR($I1996="Čaká na integráciu",$J1996="Integrácia"),"ÁNO","")</f>
        <v/>
      </c>
      <c r="L1996" t="str">
        <f>IF(OR($I1996="Čaká na biznis",$J1996="Biznis",$J1996="Švédsky biznis"),"ÁNO","")</f>
        <v/>
      </c>
      <c r="N1996" s="2"/>
      <c r="O1996" s="3"/>
      <c r="Q1996"/>
      <c r="R1996" s="3"/>
      <c r="S1996" s="3"/>
      <c r="T1996"/>
      <c r="U1996"/>
      <c r="V1996"/>
      <c r="W1996"/>
      <c r="Z1996"/>
      <c r="AA1996"/>
      <c r="AD1996"/>
    </row>
    <row r="1997" spans="11:30" ht="18" customHeight="1">
      <c r="K1997" t="str">
        <f>IF(OR($I1997="Čaká na integráciu",$J1997="Integrácia"),"ÁNO","")</f>
        <v/>
      </c>
      <c r="L1997" t="str">
        <f>IF(OR($I1997="Čaká na biznis",$J1997="Biznis",$J1997="Švédsky biznis"),"ÁNO","")</f>
        <v/>
      </c>
      <c r="N1997" s="2"/>
      <c r="O1997" s="3"/>
      <c r="Q1997"/>
      <c r="R1997" s="3"/>
      <c r="S1997" s="3"/>
      <c r="T1997"/>
      <c r="U1997"/>
      <c r="V1997"/>
      <c r="W1997"/>
      <c r="Z1997"/>
      <c r="AA1997"/>
      <c r="AD1997"/>
    </row>
    <row r="1998" spans="11:30" ht="18" customHeight="1">
      <c r="K1998" t="str">
        <f>IF(OR($I1998="Čaká na integráciu",$J1998="Integrácia"),"ÁNO","")</f>
        <v/>
      </c>
      <c r="L1998" t="str">
        <f>IF(OR($I1998="Čaká na biznis",$J1998="Biznis",$J1998="Švédsky biznis"),"ÁNO","")</f>
        <v/>
      </c>
      <c r="N1998" s="2"/>
      <c r="O1998" s="3"/>
      <c r="Q1998"/>
      <c r="R1998" s="3"/>
      <c r="S1998" s="3"/>
      <c r="T1998"/>
      <c r="U1998"/>
      <c r="V1998"/>
      <c r="W1998"/>
      <c r="Z1998"/>
      <c r="AA1998"/>
      <c r="AD1998"/>
    </row>
    <row r="1999" spans="11:30" ht="18" customHeight="1">
      <c r="K1999" t="str">
        <f>IF(OR($I1999="Čaká na integráciu",$J1999="Integrácia"),"ÁNO","")</f>
        <v/>
      </c>
      <c r="L1999" t="str">
        <f>IF(OR($I1999="Čaká na biznis",$J1999="Biznis",$J1999="Švédsky biznis"),"ÁNO","")</f>
        <v/>
      </c>
      <c r="N1999" s="2"/>
      <c r="O1999" s="3"/>
      <c r="Q1999"/>
      <c r="R1999" s="3"/>
      <c r="S1999" s="3"/>
      <c r="T1999"/>
      <c r="U1999"/>
      <c r="V1999"/>
      <c r="W1999"/>
      <c r="Z1999"/>
      <c r="AA1999"/>
      <c r="AD1999"/>
    </row>
    <row r="2000" spans="11:30" ht="18" customHeight="1">
      <c r="K2000" t="str">
        <f>IF(OR($I2000="Čaká na integráciu",$J2000="Integrácia"),"ÁNO","")</f>
        <v/>
      </c>
      <c r="L2000" t="str">
        <f>IF(OR($I2000="Čaká na biznis",$J2000="Biznis",$J2000="Švédsky biznis"),"ÁNO","")</f>
        <v/>
      </c>
      <c r="N2000" s="2"/>
      <c r="O2000" s="3"/>
      <c r="Q2000"/>
      <c r="R2000" s="3"/>
      <c r="S2000" s="3"/>
      <c r="T2000"/>
      <c r="U2000"/>
      <c r="V2000"/>
      <c r="W2000"/>
      <c r="Z2000"/>
      <c r="AA2000"/>
      <c r="AD2000"/>
    </row>
  </sheetData>
  <conditionalFormatting sqref="A2:S2000">
    <cfRule type="expression" dxfId="5" priority="52">
      <formula>AND($O2&lt;&gt;"",$O2&lt;TODAY(),NOT(OR($I2="Uzavreté",$I2="Nasadené",$I2="Zamietnuté",$I2="Odložené")))</formula>
    </cfRule>
    <cfRule type="expression" dxfId="4" priority="53">
      <formula>AND($O2&lt;&gt;"",$O2&gt;=TODAY(),$O2&lt;=TODAY()+7,NOT(OR($I2="Uzavreté",$I2="Nasadené",$I2="Zamietnuté",$I2="Odložené")))</formula>
    </cfRule>
    <cfRule type="expression" dxfId="3" priority="54">
      <formula>#REF!="CHECK"</formula>
    </cfRule>
    <cfRule type="expression" dxfId="2" priority="55">
      <formula>AND(#REF!&lt;&gt;"",#REF!&lt;TODAY()-14,NOT(OR($I2="Uzavreté",$I2="Nasadené",$I2="Zamietnuté",$I2="Odložené")))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1000000}">
          <x14:formula1>
            <xm:f>Lists!$B$3:$B$6</xm:f>
          </x14:formula1>
          <xm:sqref>F2:F2000</xm:sqref>
        </x14:dataValidation>
        <x14:dataValidation type="list" allowBlank="1" xr:uid="{00000000-0002-0000-0000-000002000000}">
          <x14:formula1>
            <xm:f>Lists!$C$3:$C$6</xm:f>
          </x14:formula1>
          <xm:sqref>H2:H2000</xm:sqref>
        </x14:dataValidation>
        <x14:dataValidation type="list" allowBlank="1" xr:uid="{00000000-0002-0000-0000-000004000000}">
          <x14:formula1>
            <xm:f>Lists!$E$3:$E$19</xm:f>
          </x14:formula1>
          <xm:sqref>I2:I2000</xm:sqref>
        </x14:dataValidation>
        <x14:dataValidation type="list" allowBlank="1" xr:uid="{00000000-0002-0000-0000-000005000000}">
          <x14:formula1>
            <xm:f>Lists!$F$3:$F$10</xm:f>
          </x14:formula1>
          <xm:sqref>J2:J2000</xm:sqref>
        </x14:dataValidation>
        <x14:dataValidation type="list" allowBlank="1" xr:uid="{00000000-0002-0000-0000-000006000000}">
          <x14:formula1>
            <xm:f>Lists!$G$3:$G$6</xm:f>
          </x14:formula1>
          <xm:sqref>Q2:Q2000</xm:sqref>
        </x14:dataValidation>
        <x14:dataValidation type="list" allowBlank="1" xr:uid="{00000000-0002-0000-0000-000000000000}">
          <x14:formula1>
            <xm:f>Lists!$A$3:$A$7</xm:f>
          </x14:formula1>
          <xm:sqref>D2:D2000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>
      <selection activeCell="H21" sqref="H20:I21"/>
    </sheetView>
  </sheetViews>
  <sheetFormatPr defaultRowHeight="15"/>
  <cols>
    <col min="1" max="1" width="26" customWidth="1"/>
    <col min="2" max="2" width="16" customWidth="1"/>
    <col min="4" max="4" width="24" customWidth="1"/>
    <col min="5" max="5" width="10" customWidth="1"/>
    <col min="7" max="7" width="18" customWidth="1"/>
    <col min="8" max="8" width="10" customWidth="1"/>
  </cols>
  <sheetData>
    <row r="1" spans="1:8">
      <c r="A1" s="4" t="s">
        <v>19</v>
      </c>
    </row>
    <row r="3" spans="1:8">
      <c r="A3" s="5" t="s">
        <v>20</v>
      </c>
      <c r="B3" s="6">
        <v>46042</v>
      </c>
    </row>
    <row r="5" spans="1:8">
      <c r="A5" s="5" t="s">
        <v>21</v>
      </c>
      <c r="D5" s="5" t="s">
        <v>22</v>
      </c>
      <c r="G5" s="5" t="s">
        <v>23</v>
      </c>
    </row>
    <row r="6" spans="1:8">
      <c r="A6" s="7" t="s">
        <v>24</v>
      </c>
      <c r="B6" s="7" t="s">
        <v>25</v>
      </c>
      <c r="D6" s="7" t="s">
        <v>26</v>
      </c>
      <c r="E6" s="7" t="s">
        <v>27</v>
      </c>
      <c r="G6" s="7" t="s">
        <v>28</v>
      </c>
      <c r="H6" s="7" t="s">
        <v>27</v>
      </c>
    </row>
    <row r="7" spans="1:8">
      <c r="A7" s="8" t="s">
        <v>29</v>
      </c>
      <c r="B7" s="9">
        <f>COUNTA(Register!$A$2:$A$2000)</f>
        <v>0</v>
      </c>
      <c r="D7" s="8" t="s">
        <v>30</v>
      </c>
      <c r="E7" s="9">
        <f>COUNTIF(Register!$I$2:$I$2000,D7)</f>
        <v>0</v>
      </c>
      <c r="G7" s="8" t="s">
        <v>31</v>
      </c>
      <c r="H7" s="9">
        <f>COUNTIF(Register!$J$2:$J$2000,G7)</f>
        <v>0</v>
      </c>
    </row>
    <row r="8" spans="1:8">
      <c r="A8" s="8" t="s">
        <v>32</v>
      </c>
      <c r="B8" s="9">
        <f>COUNTA(Register!$A$2:$A$2000)-COUNTIF(Register!$I$2:$I$2000,"Uzavreté")-COUNTIF(Register!$I$2:$I$2000,"Nasadené")-COUNTIF(Register!$I$2:$I$2000,"Zamietnuté")-COUNTIF(Register!$I$2:$I$2000,"Odložené")</f>
        <v>0</v>
      </c>
      <c r="D8" s="8" t="s">
        <v>33</v>
      </c>
      <c r="E8" s="9">
        <f>COUNTIF(Register!$I$2:$I$2000,D8)</f>
        <v>0</v>
      </c>
      <c r="G8" s="8" t="s">
        <v>34</v>
      </c>
      <c r="H8" s="9">
        <f>COUNTIF(Register!$J$2:$J$2000,G8)</f>
        <v>0</v>
      </c>
    </row>
    <row r="9" spans="1:8">
      <c r="A9" s="8" t="s">
        <v>35</v>
      </c>
      <c r="B9" s="9">
        <f ca="1">COUNTIFS(Register!$O$2:$O$2000,"&lt;"&amp;TODAY(),Register!$O$2:$O$2000,"&lt;&gt;",Register!$I$2:$I$2000,"&lt;&gt;Uzavreté",Register!$I$2:$I$2000,"&lt;&gt;Nasadené",Register!$I$2:$I$2000,"&lt;&gt;Zamietnuté",Register!$I$2:$I$2000,"&lt;&gt;Odložené")</f>
        <v>0</v>
      </c>
      <c r="D9" s="8" t="s">
        <v>36</v>
      </c>
      <c r="E9" s="9">
        <f>COUNTIF(Register!$I$2:$I$2000,D9)</f>
        <v>0</v>
      </c>
      <c r="G9" s="8" t="s">
        <v>37</v>
      </c>
      <c r="H9" s="9">
        <f>COUNTIF(Register!$J$2:$J$2000,G9)</f>
        <v>0</v>
      </c>
    </row>
    <row r="10" spans="1:8">
      <c r="A10" s="8" t="s">
        <v>38</v>
      </c>
      <c r="B10" s="9">
        <f ca="1">COUNTIFS(Register!$O$2:$O$2000,"&gt;="&amp;TODAY(),Register!$O$2:$O$2000,"&lt;="&amp;TODAY()+7,Register!$O$2:$O$2000,"&lt;&gt;",Register!$I$2:$I$2000,"&lt;&gt;Uzavreté",Register!$I$2:$I$2000,"&lt;&gt;Nasadené",Register!$I$2:$I$2000,"&lt;&gt;Zamietnuté",Register!$I$2:$I$2000,"&lt;&gt;Odložené")</f>
        <v>0</v>
      </c>
      <c r="D10" s="8" t="s">
        <v>39</v>
      </c>
      <c r="E10" s="9">
        <f>COUNTIF(Register!$I$2:$I$2000,D10)</f>
        <v>0</v>
      </c>
      <c r="G10" s="8" t="s">
        <v>40</v>
      </c>
      <c r="H10" s="9">
        <f>COUNTIF(Register!$J$2:$J$2000,G10)</f>
        <v>0</v>
      </c>
    </row>
    <row r="11" spans="1:8">
      <c r="A11" s="8" t="s">
        <v>39</v>
      </c>
      <c r="B11" s="9">
        <f>COUNTIF(Register!$L$2:$L$2000,"ÁNO")</f>
        <v>0</v>
      </c>
      <c r="D11" s="8" t="s">
        <v>41</v>
      </c>
      <c r="E11" s="9">
        <f>COUNTIF(Register!$I$2:$I$2000,D11)</f>
        <v>0</v>
      </c>
      <c r="G11" s="8" t="s">
        <v>42</v>
      </c>
      <c r="H11" s="9">
        <f>COUNTIF(Register!$J$2:$J$2000,G11)</f>
        <v>0</v>
      </c>
    </row>
    <row r="12" spans="1:8">
      <c r="A12" s="8" t="s">
        <v>41</v>
      </c>
      <c r="B12" s="9" t="e">
        <f>COUNTIF(Register!#REF!,"ÁNO")</f>
        <v>#REF!</v>
      </c>
      <c r="D12" s="8" t="s">
        <v>43</v>
      </c>
      <c r="E12" s="9">
        <f>COUNTIF(Register!$I$2:$I$2000,D12)</f>
        <v>0</v>
      </c>
      <c r="G12" s="8" t="s">
        <v>44</v>
      </c>
      <c r="H12" s="9">
        <f>COUNTIF(Register!$J$2:$J$2000,G12)</f>
        <v>0</v>
      </c>
    </row>
    <row r="13" spans="1:8">
      <c r="A13" s="8" t="s">
        <v>43</v>
      </c>
      <c r="B13" s="9">
        <f>COUNTIF(Register!$K$2:$K$2000,"ÁNO")</f>
        <v>0</v>
      </c>
      <c r="D13" s="8" t="s">
        <v>45</v>
      </c>
      <c r="E13" s="9">
        <f>COUNTIF(Register!$I$2:$I$2000,D13)</f>
        <v>0</v>
      </c>
      <c r="G13" s="8" t="s">
        <v>46</v>
      </c>
      <c r="H13" s="9">
        <f>COUNTIF(Register!$J$2:$J$2000,G13)</f>
        <v>0</v>
      </c>
    </row>
    <row r="14" spans="1:8">
      <c r="A14" s="8" t="s">
        <v>47</v>
      </c>
      <c r="B14" s="9" t="e">
        <f>COUNTIF(Register!#REF!,"CHECK")</f>
        <v>#REF!</v>
      </c>
      <c r="D14" s="8" t="s">
        <v>48</v>
      </c>
      <c r="E14" s="9">
        <f>COUNTIF(Register!$I$2:$I$2000,D14)</f>
        <v>0</v>
      </c>
    </row>
    <row r="15" spans="1:8">
      <c r="A15" s="8" t="s">
        <v>49</v>
      </c>
      <c r="B15" s="9" t="e">
        <f ca="1">COUNTIFS(Register!#REF!,"&lt;"&amp;TODAY()-14,Register!#REF!,"&lt;&gt;",Register!$I$2:$I$2000,"&lt;&gt;Uzavreté",Register!$I$2:$I$2000,"&lt;&gt;Nasadené",Register!$I$2:$I$2000,"&lt;&gt;Zamietnuté",Register!$I$2:$I$2000,"&lt;&gt;Odložené")</f>
        <v>#REF!</v>
      </c>
      <c r="D15" s="8" t="s">
        <v>50</v>
      </c>
      <c r="E15" s="9">
        <f>COUNTIF(Register!$I$2:$I$2000,D15)</f>
        <v>0</v>
      </c>
    </row>
    <row r="16" spans="1:8">
      <c r="D16" s="8" t="s">
        <v>51</v>
      </c>
      <c r="E16" s="9">
        <f>COUNTIF(Register!$I$2:$I$2000,D16)</f>
        <v>0</v>
      </c>
    </row>
    <row r="17" spans="4:5">
      <c r="D17" s="8" t="s">
        <v>52</v>
      </c>
      <c r="E17" s="9">
        <f>COUNTIF(Register!$I$2:$I$2000,D17)</f>
        <v>0</v>
      </c>
    </row>
    <row r="18" spans="4:5">
      <c r="D18" s="8" t="s">
        <v>53</v>
      </c>
      <c r="E18" s="9">
        <f>COUNTIF(Register!$I$2:$I$2000,D18)</f>
        <v>0</v>
      </c>
    </row>
    <row r="19" spans="4:5">
      <c r="D19" s="8" t="s">
        <v>54</v>
      </c>
      <c r="E19" s="9">
        <f>COUNTIF(Register!$I$2:$I$2000,D19)</f>
        <v>0</v>
      </c>
    </row>
    <row r="20" spans="4:5">
      <c r="D20" s="8" t="s">
        <v>55</v>
      </c>
      <c r="E20" s="9">
        <f>COUNTIF(Register!$I$2:$I$2000,D20)</f>
        <v>0</v>
      </c>
    </row>
    <row r="21" spans="4:5">
      <c r="D21" s="8" t="s">
        <v>56</v>
      </c>
      <c r="E21" s="9">
        <f>COUNTIF(Register!$I$2:$I$2000,D21)</f>
        <v>0</v>
      </c>
    </row>
    <row r="22" spans="4:5">
      <c r="D22" s="8" t="s">
        <v>57</v>
      </c>
      <c r="E22" s="9">
        <f>COUNTIF(Register!$I$2:$I$2000,D22)</f>
        <v>0</v>
      </c>
    </row>
    <row r="23" spans="4:5">
      <c r="D23" s="8" t="s">
        <v>58</v>
      </c>
      <c r="E23" s="9">
        <f>COUNTIF(Register!$I$2:$I$2000,D23)</f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workbookViewId="0"/>
  </sheetViews>
  <sheetFormatPr defaultRowHeight="15"/>
  <sheetData>
    <row r="1" spans="1:9">
      <c r="A1" s="5" t="s">
        <v>59</v>
      </c>
    </row>
    <row r="2" spans="1:9">
      <c r="A2" s="5" t="s">
        <v>60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68</v>
      </c>
    </row>
    <row r="3" spans="1:9">
      <c r="A3" t="s">
        <v>69</v>
      </c>
      <c r="B3" t="s">
        <v>70</v>
      </c>
      <c r="C3" t="s">
        <v>71</v>
      </c>
      <c r="D3" t="s">
        <v>72</v>
      </c>
      <c r="E3" t="s">
        <v>30</v>
      </c>
      <c r="G3" t="s">
        <v>73</v>
      </c>
    </row>
    <row r="4" spans="1:9">
      <c r="A4" t="s">
        <v>74</v>
      </c>
      <c r="B4" t="s">
        <v>75</v>
      </c>
      <c r="C4" t="s">
        <v>76</v>
      </c>
      <c r="D4" t="s">
        <v>77</v>
      </c>
      <c r="E4" t="s">
        <v>33</v>
      </c>
      <c r="F4" t="s">
        <v>31</v>
      </c>
      <c r="G4" t="s">
        <v>78</v>
      </c>
      <c r="H4" t="s">
        <v>79</v>
      </c>
      <c r="I4" t="s">
        <v>80</v>
      </c>
    </row>
    <row r="5" spans="1:9">
      <c r="A5" t="s">
        <v>81</v>
      </c>
      <c r="B5" t="s">
        <v>82</v>
      </c>
      <c r="C5" t="s">
        <v>83</v>
      </c>
      <c r="D5" t="s">
        <v>84</v>
      </c>
      <c r="E5" t="s">
        <v>36</v>
      </c>
      <c r="F5" t="s">
        <v>34</v>
      </c>
      <c r="G5" t="s">
        <v>85</v>
      </c>
      <c r="H5" t="s">
        <v>86</v>
      </c>
    </row>
    <row r="6" spans="1:9">
      <c r="A6" t="s">
        <v>87</v>
      </c>
      <c r="B6" t="s">
        <v>88</v>
      </c>
      <c r="C6" t="s">
        <v>89</v>
      </c>
      <c r="D6" t="s">
        <v>90</v>
      </c>
      <c r="E6" t="s">
        <v>39</v>
      </c>
      <c r="F6" t="s">
        <v>37</v>
      </c>
      <c r="G6" t="s">
        <v>91</v>
      </c>
    </row>
    <row r="7" spans="1:9">
      <c r="A7" t="s">
        <v>92</v>
      </c>
      <c r="E7" t="s">
        <v>41</v>
      </c>
      <c r="F7" t="s">
        <v>40</v>
      </c>
    </row>
    <row r="8" spans="1:9">
      <c r="E8" t="s">
        <v>43</v>
      </c>
      <c r="F8" t="s">
        <v>42</v>
      </c>
    </row>
    <row r="9" spans="1:9">
      <c r="E9" t="s">
        <v>45</v>
      </c>
      <c r="F9" t="s">
        <v>44</v>
      </c>
    </row>
    <row r="10" spans="1:9">
      <c r="E10" t="s">
        <v>48</v>
      </c>
      <c r="F10" t="s">
        <v>46</v>
      </c>
    </row>
    <row r="11" spans="1:9">
      <c r="E11" t="s">
        <v>50</v>
      </c>
    </row>
    <row r="12" spans="1:9">
      <c r="E12" t="s">
        <v>51</v>
      </c>
    </row>
    <row r="13" spans="1:9">
      <c r="E13" t="s">
        <v>52</v>
      </c>
    </row>
    <row r="14" spans="1:9">
      <c r="E14" t="s">
        <v>53</v>
      </c>
    </row>
    <row r="15" spans="1:9">
      <c r="E15" t="s">
        <v>54</v>
      </c>
    </row>
    <row r="16" spans="1:9">
      <c r="E16" t="s">
        <v>55</v>
      </c>
    </row>
    <row r="17" spans="5:5">
      <c r="E17" t="s">
        <v>56</v>
      </c>
    </row>
    <row r="18" spans="5:5">
      <c r="E18" t="s">
        <v>57</v>
      </c>
    </row>
    <row r="19" spans="5:5">
      <c r="E19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showGridLines="0" workbookViewId="0"/>
  </sheetViews>
  <sheetFormatPr defaultRowHeight="15"/>
  <cols>
    <col min="1" max="1" width="110" customWidth="1"/>
  </cols>
  <sheetData>
    <row r="1" spans="1:1">
      <c r="A1" s="10" t="s">
        <v>93</v>
      </c>
    </row>
    <row r="3" spans="1:1" ht="20.100000000000001" customHeight="1">
      <c r="A3" s="2" t="s">
        <v>94</v>
      </c>
    </row>
    <row r="4" spans="1:1" ht="20.100000000000001" customHeight="1">
      <c r="A4" s="2" t="s">
        <v>95</v>
      </c>
    </row>
    <row r="5" spans="1:1" ht="20.100000000000001" customHeight="1">
      <c r="A5" s="2" t="s">
        <v>96</v>
      </c>
    </row>
    <row r="6" spans="1:1" ht="20.100000000000001" customHeight="1">
      <c r="A6" s="2" t="s">
        <v>97</v>
      </c>
    </row>
    <row r="7" spans="1:1" ht="20.100000000000001" customHeight="1">
      <c r="A7" s="2" t="s">
        <v>98</v>
      </c>
    </row>
    <row r="8" spans="1:1" ht="20.100000000000001" customHeight="1">
      <c r="A8" s="2" t="s">
        <v>99</v>
      </c>
    </row>
    <row r="9" spans="1:1" ht="20.100000000000001" customHeight="1">
      <c r="A9" s="2" t="s">
        <v>100</v>
      </c>
    </row>
    <row r="10" spans="1:1" ht="20.100000000000001" customHeight="1">
      <c r="A10" s="2" t="s">
        <v>101</v>
      </c>
    </row>
    <row r="11" spans="1:1" ht="20.100000000000001" customHeight="1">
      <c r="A11" s="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2026-01-20T13:47:05Z</dcterms:created>
  <dcterms:modified xsi:type="dcterms:W3CDTF">2026-01-20T19:43:34Z</dcterms:modified>
  <cp:category/>
  <cp:contentStatus/>
</cp:coreProperties>
</file>